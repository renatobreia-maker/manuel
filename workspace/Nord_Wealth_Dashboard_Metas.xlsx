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ing 2026" sheetId="2" state="visible" r:id="rId2"/>
    <sheet xmlns:r="http://schemas.openxmlformats.org/officeDocument/2006/relationships" name="Tracking 2027" sheetId="3" state="visible" r:id="rId3"/>
    <sheet xmlns:r="http://schemas.openxmlformats.org/officeDocument/2006/relationships" name="Histórico Compl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,,,&quot; bi&quot;"/>
    <numFmt numFmtId="165" formatCode="0.0%"/>
    <numFmt numFmtId="166" formatCode="#,##0,,,&quot; MM/mês&quot;"/>
    <numFmt numFmtId="167" formatCode="#,##0,,,&quot; MM&quot;"/>
    <numFmt numFmtId="168" formatCode="#,##0.00,,,&quot; MM&quot;"/>
  </numFmts>
  <fonts count="17">
    <font>
      <name val="Calibri"/>
      <family val="2"/>
      <color theme="1"/>
      <sz val="11"/>
      <scheme val="minor"/>
    </font>
    <font>
      <name val="Calibri"/>
      <b val="1"/>
      <color rgb="000D1B2A"/>
      <sz val="18"/>
    </font>
    <font>
      <name val="Calibri"/>
      <i val="1"/>
      <color rgb="007F8C8D"/>
      <sz val="11"/>
    </font>
    <font>
      <name val="Calibri"/>
      <b val="1"/>
      <color rgb="00FFFFFF"/>
      <sz val="9"/>
    </font>
    <font>
      <name val="Calibri"/>
      <b val="1"/>
      <color rgb="002E86C1"/>
      <sz val="16"/>
    </font>
    <font>
      <name val="Calibri"/>
      <b val="1"/>
      <color rgb="0027AE60"/>
      <sz val="16"/>
    </font>
    <font>
      <name val="Calibri"/>
      <b val="1"/>
      <color rgb="00E67E22"/>
      <sz val="16"/>
    </font>
    <font>
      <name val="Calibri"/>
      <b val="1"/>
      <color rgb="00E74C3C"/>
      <sz val="16"/>
    </font>
    <font>
      <name val="Calibri"/>
      <b val="1"/>
      <color rgb="0017A589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D1B2A"/>
      <sz val="16"/>
    </font>
    <font>
      <name val="Calibri"/>
      <b val="1"/>
      <color rgb="000D1B2A"/>
      <sz val="11"/>
    </font>
    <font>
      <name val="Calibri"/>
      <b val="1"/>
    </font>
    <font>
      <name val="Calibri"/>
      <i val="1"/>
      <color rgb="007F8C8D"/>
      <sz val="9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F7F9FC"/>
        <bgColor rgb="00F7F9FC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E74C3C"/>
        <bgColor rgb="00E74C3C"/>
      </patternFill>
    </fill>
    <fill>
      <patternFill patternType="solid">
        <fgColor rgb="0017A589"/>
        <bgColor rgb="0017A589"/>
      </patternFill>
    </fill>
    <fill>
      <patternFill patternType="solid">
        <fgColor rgb="000D1B2A"/>
        <bgColor rgb="000D1B2A"/>
      </patternFill>
    </fill>
    <fill>
      <patternFill patternType="solid">
        <fgColor rgb="001B4F72"/>
        <bgColor rgb="001B4F7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0" pivotButton="0" quotePrefix="0" xfId="0"/>
    <xf numFmtId="0" fontId="3" fillId="4" borderId="1" applyAlignment="1" pivotButton="0" quotePrefix="0" xfId="0">
      <alignment horizontal="center"/>
    </xf>
    <xf numFmtId="0" fontId="0" fillId="4" borderId="0" pivotButton="0" quotePrefix="0" xfId="0"/>
    <xf numFmtId="0" fontId="3" fillId="5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applyAlignment="1" pivotButton="0" quotePrefix="0" xfId="0">
      <alignment horizontal="center"/>
    </xf>
    <xf numFmtId="0" fontId="0" fillId="6" borderId="0" pivotButton="0" quotePrefix="0" xfId="0"/>
    <xf numFmtId="0" fontId="3" fillId="7" borderId="1" applyAlignment="1" pivotButton="0" quotePrefix="0" xfId="0">
      <alignment horizontal="center"/>
    </xf>
    <xf numFmtId="0" fontId="0" fillId="7" borderId="0" pivotButton="0" quotePrefix="0" xfId="0"/>
    <xf numFmtId="164" fontId="4" fillId="3" borderId="1" applyAlignment="1" pivotButton="0" quotePrefix="0" xfId="0">
      <alignment horizontal="center"/>
    </xf>
    <xf numFmtId="0" fontId="0" fillId="3" borderId="0" pivotButton="0" quotePrefix="0" xfId="0"/>
    <xf numFmtId="164" fontId="5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166" fontId="8" fillId="3" borderId="1" applyAlignment="1" pivotButton="0" quotePrefix="0" xfId="0">
      <alignment horizontal="center"/>
    </xf>
    <xf numFmtId="0" fontId="9" fillId="8" borderId="0" pivotButton="0" quotePrefix="0" xfId="0"/>
    <xf numFmtId="0" fontId="0" fillId="8" borderId="0" pivotButton="0" quotePrefix="0" xfId="0"/>
    <xf numFmtId="0" fontId="10" fillId="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2" fillId="0" borderId="0" pivotButton="0" quotePrefix="0" xfId="0"/>
    <xf numFmtId="164" fontId="13" fillId="10" borderId="1" applyAlignment="1" pivotButton="0" quotePrefix="0" xfId="0">
      <alignment horizontal="center"/>
    </xf>
    <xf numFmtId="165" fontId="14" fillId="3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3" fontId="13" fillId="10" borderId="1" applyAlignment="1" pivotButton="0" quotePrefix="0" xfId="0">
      <alignment horizontal="center"/>
    </xf>
    <xf numFmtId="168" fontId="0" fillId="3" borderId="1" applyAlignment="1" pivotButton="0" quotePrefix="0" xfId="0">
      <alignment horizontal="center"/>
    </xf>
    <xf numFmtId="0" fontId="0" fillId="10" borderId="1" applyAlignment="1" pivotButton="0" quotePrefix="0" xfId="0">
      <alignment horizontal="left" wrapText="1"/>
    </xf>
    <xf numFmtId="165" fontId="14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0" fontId="9" fillId="4" borderId="0" pivotButton="0" quotePrefix="0" xfId="0"/>
    <xf numFmtId="0" fontId="15" fillId="0" borderId="0" pivotButton="0" quotePrefix="0" xfId="0"/>
    <xf numFmtId="0" fontId="9" fillId="7" borderId="0" pivotButton="0" quotePrefix="0" xfId="0"/>
    <xf numFmtId="0" fontId="16" fillId="3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AuC — Nord Wealth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prstDash val="solid"/>
            </a:ln>
          </spPr>
          <dPt>
            <idx val="7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17A589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'Dashboard'!$B$10:$B$18</f>
            </numRef>
          </cat>
          <val>
            <numRef>
              <f>'Dashboard'!$C$10:$C$18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,,,&quot; bi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B2C vs B2B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'Dashboard'!E9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prstDash val="solid"/>
            </a:ln>
          </spPr>
          <cat>
            <numRef>
              <f>'Dashboard'!$B$10:$B$16</f>
            </numRef>
          </cat>
          <val>
            <numRef>
              <f>'Dashboard'!$E$10:$E$16</f>
            </numRef>
          </val>
        </ser>
        <ser>
          <idx val="1"/>
          <order val="1"/>
          <tx>
            <strRef>
              <f>'Dashboard'!F9</f>
            </strRef>
          </tx>
          <spPr>
            <a:solidFill xmlns:a="http://schemas.openxmlformats.org/drawingml/2006/main">
              <a:srgbClr val="17A589"/>
            </a:solidFill>
            <a:ln xmlns:a="http://schemas.openxmlformats.org/drawingml/2006/main">
              <a:prstDash val="solid"/>
            </a:ln>
          </spPr>
          <cat>
            <numRef>
              <f>'Dashboard'!$B$10:$B$16</f>
            </numRef>
          </cat>
          <val>
            <numRef>
              <f>'Dashboard'!$F$10:$F$16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,,,&quot; bi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Meta vs Real — AuC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'Tracking 2026'!C5</f>
            </strRef>
          </tx>
          <spPr>
            <a:solidFill xmlns:a="http://schemas.openxmlformats.org/drawingml/2006/main">
              <a:srgbClr val="D5D8DC"/>
            </a:solidFill>
            <a:ln xmlns:a="http://schemas.openxmlformats.org/drawingml/2006/main">
              <a:prstDash val="solid"/>
            </a:ln>
          </spPr>
          <cat>
            <numRef>
              <f>'Tracking 2026'!$B$6:$B$17</f>
            </numRef>
          </cat>
          <val>
            <numRef>
              <f>'Tracking 2026'!$C$6:$C$17</f>
            </numRef>
          </val>
        </ser>
        <ser>
          <idx val="1"/>
          <order val="1"/>
          <tx>
            <strRef>
              <f>'Tracking 2026'!D5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prstDash val="solid"/>
            </a:ln>
          </spPr>
          <cat>
            <numRef>
              <f>'Tracking 2026'!$B$6:$B$17</f>
            </numRef>
          </cat>
          <val>
            <numRef>
              <f>'Tracking 2026'!$D$6:$D$17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,,,&quot; bi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AuC Total — Evolução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 Completo'!D5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 Completo'!$B$6:$B$53</f>
            </numRef>
          </cat>
          <val>
            <numRef>
              <f>'Histórico Completo'!$D$6:$D$53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,,,&quot; bi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1008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54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B2:N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>
      <c r="B2" s="1" t="inlineStr">
        <is>
          <t>NORD WEALTH — Dashboard de Metas</t>
        </is>
      </c>
    </row>
    <row r="3">
      <c r="B3" s="2" t="inlineStr">
        <is>
          <t>Meta: R$ 16 bi (Dez/2026) | R$ 22 bi (Dez/2027)</t>
        </is>
      </c>
    </row>
    <row r="5" ht="25" customHeight="1">
      <c r="B5" s="3" t="inlineStr">
        <is>
          <t>AuC Dez/2025</t>
        </is>
      </c>
      <c r="C5" s="4" t="n"/>
      <c r="D5" s="5" t="inlineStr">
        <is>
          <t>Meta Dez/2026</t>
        </is>
      </c>
      <c r="E5" s="6" t="n"/>
      <c r="F5" s="7" t="inlineStr">
        <is>
          <t>Gap p/ Meta</t>
        </is>
      </c>
      <c r="G5" s="8" t="n"/>
      <c r="H5" s="9" t="inlineStr">
        <is>
          <t>Cresc. Necessário</t>
        </is>
      </c>
      <c r="I5" s="10" t="n"/>
      <c r="J5" s="11" t="inlineStr">
        <is>
          <t>Ritmo Mensal Req.</t>
        </is>
      </c>
      <c r="K5" s="12" t="n"/>
    </row>
    <row r="6" ht="40" customHeight="1">
      <c r="B6" s="13" t="n">
        <v>9994583842</v>
      </c>
      <c r="C6" s="14" t="n"/>
      <c r="D6" s="15" t="n">
        <v>16000000000</v>
      </c>
      <c r="E6" s="14" t="n"/>
      <c r="F6" s="16" t="n">
        <v>6005416158</v>
      </c>
      <c r="G6" s="14" t="n"/>
      <c r="H6" s="17" t="n">
        <v>0.6008</v>
      </c>
      <c r="I6" s="14" t="n"/>
      <c r="J6" s="18" t="n">
        <v>500451346</v>
      </c>
      <c r="K6" s="14" t="n"/>
    </row>
    <row r="8" ht="32" customHeight="1">
      <c r="B8" s="19" t="inlineStr">
        <is>
          <t xml:space="preserve">  Evolução Histórica AuC</t>
        </is>
      </c>
      <c r="C8" s="20" t="n"/>
      <c r="D8" s="20" t="n"/>
      <c r="E8" s="20" t="n"/>
      <c r="F8" s="20" t="n"/>
    </row>
    <row r="9" ht="30" customHeight="1">
      <c r="B9" s="21" t="inlineStr">
        <is>
          <t>Período</t>
        </is>
      </c>
      <c r="C9" s="21" t="inlineStr">
        <is>
          <t>AuC Total</t>
        </is>
      </c>
      <c r="D9" s="21" t="inlineStr">
        <is>
          <t>Clientes</t>
        </is>
      </c>
      <c r="E9" s="21" t="inlineStr">
        <is>
          <t>B2C</t>
        </is>
      </c>
      <c r="F9" s="21" t="inlineStr">
        <is>
          <t>B2B</t>
        </is>
      </c>
    </row>
    <row r="10">
      <c r="B10" s="22" t="inlineStr">
        <is>
          <t>Dez/22</t>
        </is>
      </c>
      <c r="C10" s="23" t="n">
        <v>1098224000</v>
      </c>
      <c r="D10" s="24" t="n">
        <v>357</v>
      </c>
      <c r="E10" s="23" t="n">
        <v>1098224000</v>
      </c>
      <c r="F10" s="23" t="n">
        <v>0</v>
      </c>
    </row>
    <row r="11">
      <c r="B11" s="25" t="inlineStr">
        <is>
          <t>Jun/23</t>
        </is>
      </c>
      <c r="C11" s="26" t="n">
        <v>2051111914</v>
      </c>
      <c r="D11" s="27" t="n">
        <v>661</v>
      </c>
      <c r="E11" s="26" t="n">
        <v>1765170615</v>
      </c>
      <c r="F11" s="26" t="n">
        <v>285941299</v>
      </c>
    </row>
    <row r="12">
      <c r="B12" s="22" t="inlineStr">
        <is>
          <t>Dez/23</t>
        </is>
      </c>
      <c r="C12" s="23" t="n">
        <v>3178739568</v>
      </c>
      <c r="D12" s="24" t="n">
        <v>1448</v>
      </c>
      <c r="E12" s="23" t="n">
        <v>2741012665</v>
      </c>
      <c r="F12" s="23" t="n">
        <v>437726903</v>
      </c>
    </row>
    <row r="13">
      <c r="B13" s="25" t="inlineStr">
        <is>
          <t>Jun/24</t>
        </is>
      </c>
      <c r="C13" s="26" t="n">
        <v>4449614433</v>
      </c>
      <c r="D13" s="27" t="n">
        <v>1892</v>
      </c>
      <c r="E13" s="26" t="n">
        <v>3762514201</v>
      </c>
      <c r="F13" s="26" t="n">
        <v>687100232</v>
      </c>
    </row>
    <row r="14">
      <c r="B14" s="22" t="inlineStr">
        <is>
          <t>Dez/24</t>
        </is>
      </c>
      <c r="C14" s="23" t="n">
        <v>5925842704</v>
      </c>
      <c r="D14" s="24" t="n">
        <v>2753</v>
      </c>
      <c r="E14" s="23" t="n">
        <v>4797735733</v>
      </c>
      <c r="F14" s="23" t="n">
        <v>1128106971</v>
      </c>
    </row>
    <row r="15">
      <c r="B15" s="25" t="inlineStr">
        <is>
          <t>Jun/25</t>
        </is>
      </c>
      <c r="C15" s="26" t="n">
        <v>7181128593</v>
      </c>
      <c r="D15" s="27" t="n">
        <v>3135</v>
      </c>
      <c r="E15" s="26" t="n">
        <v>5845476405</v>
      </c>
      <c r="F15" s="26" t="n">
        <v>1335652188</v>
      </c>
    </row>
    <row r="16">
      <c r="B16" s="22" t="inlineStr">
        <is>
          <t>Dez/25</t>
        </is>
      </c>
      <c r="C16" s="23" t="n">
        <v>9994583842</v>
      </c>
      <c r="D16" s="24" t="n">
        <v>4426</v>
      </c>
      <c r="E16" s="23" t="n">
        <v>7187066134</v>
      </c>
      <c r="F16" s="23" t="n">
        <v>2807517709</v>
      </c>
    </row>
    <row r="17">
      <c r="B17" s="25" t="inlineStr">
        <is>
          <t>Meta Dez/26</t>
        </is>
      </c>
      <c r="C17" s="26" t="n">
        <v>16000000000</v>
      </c>
      <c r="D17" s="27" t="n"/>
      <c r="E17" s="26" t="n"/>
      <c r="F17" s="26" t="n"/>
    </row>
    <row r="18">
      <c r="B18" s="22" t="inlineStr">
        <is>
          <t>Meta Dez/27</t>
        </is>
      </c>
      <c r="C18" s="23" t="n">
        <v>22000000000</v>
      </c>
      <c r="D18" s="24" t="n"/>
      <c r="E18" s="23" t="n"/>
      <c r="F18" s="23" t="n"/>
    </row>
  </sheetData>
  <mergeCells count="13">
    <mergeCell ref="D6:E6"/>
    <mergeCell ref="B6:C6"/>
    <mergeCell ref="H6:I6"/>
    <mergeCell ref="J5:K5"/>
    <mergeCell ref="J6:K6"/>
    <mergeCell ref="B5:C5"/>
    <mergeCell ref="F5:G5"/>
    <mergeCell ref="D5:E5"/>
    <mergeCell ref="F6:G6"/>
    <mergeCell ref="H5:I5"/>
    <mergeCell ref="B8:F8"/>
    <mergeCell ref="B3:N3"/>
    <mergeCell ref="B2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B2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2">
      <c r="B2" s="28" t="inlineStr">
        <is>
          <t>TRACKING MENSAL 2026 — Meta R$ 16 bi</t>
        </is>
      </c>
    </row>
    <row r="4" ht="32" customHeight="1">
      <c r="B4" s="19" t="inlineStr">
        <is>
          <t xml:space="preserve">  Preencha colunas amarelas com dados reais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 ht="30" customHeight="1">
      <c r="B5" s="21" t="inlineStr">
        <is>
          <t>Mês</t>
        </is>
      </c>
      <c r="C5" s="21" t="inlineStr">
        <is>
          <t>Meta AuC</t>
        </is>
      </c>
      <c r="D5" s="21" t="inlineStr">
        <is>
          <t>▶ AuC Real</t>
        </is>
      </c>
      <c r="E5" s="21" t="inlineStr">
        <is>
          <t>% Atingido</t>
        </is>
      </c>
      <c r="F5" s="21" t="inlineStr">
        <is>
          <t>Captação Líq.</t>
        </is>
      </c>
      <c r="G5" s="21" t="inlineStr">
        <is>
          <t>▶ Clientes</t>
        </is>
      </c>
      <c r="H5" s="21" t="inlineStr">
        <is>
          <t>Ticket Médio</t>
        </is>
      </c>
      <c r="I5" s="21" t="inlineStr">
        <is>
          <t>▶ B2C AuC</t>
        </is>
      </c>
      <c r="J5" s="21" t="inlineStr">
        <is>
          <t>▶ B2B AuC</t>
        </is>
      </c>
      <c r="K5" s="21" t="inlineStr">
        <is>
          <t>Obs</t>
        </is>
      </c>
    </row>
    <row r="6">
      <c r="B6" s="22" t="inlineStr">
        <is>
          <t>Jan/26</t>
        </is>
      </c>
      <c r="C6" s="23" t="n">
        <v>10495035188.5</v>
      </c>
      <c r="D6" s="29" t="n"/>
      <c r="E6" s="30">
        <f>IF(D6&lt;&gt;"",D6/C6,"")</f>
        <v/>
      </c>
      <c r="F6" s="31">
        <f>IF(D6&lt;&gt;"",D6-9994583842,"")</f>
        <v/>
      </c>
      <c r="G6" s="32" t="n"/>
      <c r="H6" s="33">
        <f>IF(AND(D6&lt;&gt;"",G6&lt;&gt;""),D6/G6,"")</f>
        <v/>
      </c>
      <c r="I6" s="29" t="n"/>
      <c r="J6" s="29" t="n"/>
      <c r="K6" s="34" t="n"/>
    </row>
    <row r="7">
      <c r="B7" s="25" t="inlineStr">
        <is>
          <t>Fev/26</t>
        </is>
      </c>
      <c r="C7" s="26" t="n">
        <v>10995486535</v>
      </c>
      <c r="D7" s="29" t="n"/>
      <c r="E7" s="35">
        <f>IF(D7&lt;&gt;"",D7/C7,"")</f>
        <v/>
      </c>
      <c r="F7" s="36">
        <f>IF(AND(D7&lt;&gt;"",D6&lt;&gt;""),D7-D6,"")</f>
        <v/>
      </c>
      <c r="G7" s="32" t="n"/>
      <c r="H7" s="37">
        <f>IF(AND(D7&lt;&gt;"",G7&lt;&gt;""),D7/G7,"")</f>
        <v/>
      </c>
      <c r="I7" s="29" t="n"/>
      <c r="J7" s="29" t="n"/>
      <c r="K7" s="34" t="n"/>
    </row>
    <row r="8">
      <c r="B8" s="22" t="inlineStr">
        <is>
          <t>Mar/26</t>
        </is>
      </c>
      <c r="C8" s="23" t="n">
        <v>11495937881.5</v>
      </c>
      <c r="D8" s="29" t="n"/>
      <c r="E8" s="30">
        <f>IF(D8&lt;&gt;"",D8/C8,"")</f>
        <v/>
      </c>
      <c r="F8" s="31">
        <f>IF(AND(D8&lt;&gt;"",D7&lt;&gt;""),D8-D7,"")</f>
        <v/>
      </c>
      <c r="G8" s="32" t="n"/>
      <c r="H8" s="33">
        <f>IF(AND(D8&lt;&gt;"",G8&lt;&gt;""),D8/G8,"")</f>
        <v/>
      </c>
      <c r="I8" s="29" t="n"/>
      <c r="J8" s="29" t="n"/>
      <c r="K8" s="34" t="n"/>
    </row>
    <row r="9">
      <c r="B9" s="25" t="inlineStr">
        <is>
          <t>Abr/26</t>
        </is>
      </c>
      <c r="C9" s="26" t="n">
        <v>11996389228</v>
      </c>
      <c r="D9" s="29" t="n"/>
      <c r="E9" s="35">
        <f>IF(D9&lt;&gt;"",D9/C9,"")</f>
        <v/>
      </c>
      <c r="F9" s="36">
        <f>IF(AND(D9&lt;&gt;"",D8&lt;&gt;""),D9-D8,"")</f>
        <v/>
      </c>
      <c r="G9" s="32" t="n"/>
      <c r="H9" s="37">
        <f>IF(AND(D9&lt;&gt;"",G9&lt;&gt;""),D9/G9,"")</f>
        <v/>
      </c>
      <c r="I9" s="29" t="n"/>
      <c r="J9" s="29" t="n"/>
      <c r="K9" s="34" t="n"/>
    </row>
    <row r="10">
      <c r="B10" s="22" t="inlineStr">
        <is>
          <t>Mai/26</t>
        </is>
      </c>
      <c r="C10" s="23" t="n">
        <v>12496840574.5</v>
      </c>
      <c r="D10" s="29" t="n"/>
      <c r="E10" s="30">
        <f>IF(D10&lt;&gt;"",D10/C10,"")</f>
        <v/>
      </c>
      <c r="F10" s="31">
        <f>IF(AND(D10&lt;&gt;"",D9&lt;&gt;""),D10-D9,"")</f>
        <v/>
      </c>
      <c r="G10" s="32" t="n"/>
      <c r="H10" s="33">
        <f>IF(AND(D10&lt;&gt;"",G10&lt;&gt;""),D10/G10,"")</f>
        <v/>
      </c>
      <c r="I10" s="29" t="n"/>
      <c r="J10" s="29" t="n"/>
      <c r="K10" s="34" t="n"/>
    </row>
    <row r="11">
      <c r="B11" s="25" t="inlineStr">
        <is>
          <t>Jun/26</t>
        </is>
      </c>
      <c r="C11" s="26" t="n">
        <v>12997291921</v>
      </c>
      <c r="D11" s="29" t="n"/>
      <c r="E11" s="35">
        <f>IF(D11&lt;&gt;"",D11/C11,"")</f>
        <v/>
      </c>
      <c r="F11" s="36">
        <f>IF(AND(D11&lt;&gt;"",D10&lt;&gt;""),D11-D10,"")</f>
        <v/>
      </c>
      <c r="G11" s="32" t="n"/>
      <c r="H11" s="37">
        <f>IF(AND(D11&lt;&gt;"",G11&lt;&gt;""),D11/G11,"")</f>
        <v/>
      </c>
      <c r="I11" s="29" t="n"/>
      <c r="J11" s="29" t="n"/>
      <c r="K11" s="34" t="n"/>
    </row>
    <row r="12">
      <c r="B12" s="22" t="inlineStr">
        <is>
          <t>Jul/26</t>
        </is>
      </c>
      <c r="C12" s="23" t="n">
        <v>13497743267.5</v>
      </c>
      <c r="D12" s="29" t="n"/>
      <c r="E12" s="30">
        <f>IF(D12&lt;&gt;"",D12/C12,"")</f>
        <v/>
      </c>
      <c r="F12" s="31">
        <f>IF(AND(D12&lt;&gt;"",D11&lt;&gt;""),D12-D11,"")</f>
        <v/>
      </c>
      <c r="G12" s="32" t="n"/>
      <c r="H12" s="33">
        <f>IF(AND(D12&lt;&gt;"",G12&lt;&gt;""),D12/G12,"")</f>
        <v/>
      </c>
      <c r="I12" s="29" t="n"/>
      <c r="J12" s="29" t="n"/>
      <c r="K12" s="34" t="n"/>
    </row>
    <row r="13">
      <c r="B13" s="25" t="inlineStr">
        <is>
          <t>Ago/26</t>
        </is>
      </c>
      <c r="C13" s="26" t="n">
        <v>13998194614</v>
      </c>
      <c r="D13" s="29" t="n"/>
      <c r="E13" s="35">
        <f>IF(D13&lt;&gt;"",D13/C13,"")</f>
        <v/>
      </c>
      <c r="F13" s="36">
        <f>IF(AND(D13&lt;&gt;"",D12&lt;&gt;""),D13-D12,"")</f>
        <v/>
      </c>
      <c r="G13" s="32" t="n"/>
      <c r="H13" s="37">
        <f>IF(AND(D13&lt;&gt;"",G13&lt;&gt;""),D13/G13,"")</f>
        <v/>
      </c>
      <c r="I13" s="29" t="n"/>
      <c r="J13" s="29" t="n"/>
      <c r="K13" s="34" t="n"/>
    </row>
    <row r="14">
      <c r="B14" s="22" t="inlineStr">
        <is>
          <t>Set/26</t>
        </is>
      </c>
      <c r="C14" s="23" t="n">
        <v>14498645960.5</v>
      </c>
      <c r="D14" s="29" t="n"/>
      <c r="E14" s="30">
        <f>IF(D14&lt;&gt;"",D14/C14,"")</f>
        <v/>
      </c>
      <c r="F14" s="31">
        <f>IF(AND(D14&lt;&gt;"",D13&lt;&gt;""),D14-D13,"")</f>
        <v/>
      </c>
      <c r="G14" s="32" t="n"/>
      <c r="H14" s="33">
        <f>IF(AND(D14&lt;&gt;"",G14&lt;&gt;""),D14/G14,"")</f>
        <v/>
      </c>
      <c r="I14" s="29" t="n"/>
      <c r="J14" s="29" t="n"/>
      <c r="K14" s="34" t="n"/>
    </row>
    <row r="15">
      <c r="B15" s="25" t="inlineStr">
        <is>
          <t>Out/26</t>
        </is>
      </c>
      <c r="C15" s="26" t="n">
        <v>14999097307</v>
      </c>
      <c r="D15" s="29" t="n"/>
      <c r="E15" s="35">
        <f>IF(D15&lt;&gt;"",D15/C15,"")</f>
        <v/>
      </c>
      <c r="F15" s="36">
        <f>IF(AND(D15&lt;&gt;"",D14&lt;&gt;""),D15-D14,"")</f>
        <v/>
      </c>
      <c r="G15" s="32" t="n"/>
      <c r="H15" s="37">
        <f>IF(AND(D15&lt;&gt;"",G15&lt;&gt;""),D15/G15,"")</f>
        <v/>
      </c>
      <c r="I15" s="29" t="n"/>
      <c r="J15" s="29" t="n"/>
      <c r="K15" s="34" t="n"/>
    </row>
    <row r="16">
      <c r="B16" s="22" t="inlineStr">
        <is>
          <t>Nov/26</t>
        </is>
      </c>
      <c r="C16" s="23" t="n">
        <v>15499548653.5</v>
      </c>
      <c r="D16" s="29" t="n"/>
      <c r="E16" s="30">
        <f>IF(D16&lt;&gt;"",D16/C16,"")</f>
        <v/>
      </c>
      <c r="F16" s="31">
        <f>IF(AND(D16&lt;&gt;"",D15&lt;&gt;""),D16-D15,"")</f>
        <v/>
      </c>
      <c r="G16" s="32" t="n"/>
      <c r="H16" s="33">
        <f>IF(AND(D16&lt;&gt;"",G16&lt;&gt;""),D16/G16,"")</f>
        <v/>
      </c>
      <c r="I16" s="29" t="n"/>
      <c r="J16" s="29" t="n"/>
      <c r="K16" s="34" t="n"/>
    </row>
    <row r="17">
      <c r="B17" s="25" t="inlineStr">
        <is>
          <t>Dez/26</t>
        </is>
      </c>
      <c r="C17" s="26" t="n">
        <v>16000000000</v>
      </c>
      <c r="D17" s="29" t="n"/>
      <c r="E17" s="35">
        <f>IF(D17&lt;&gt;"",D17/C17,"")</f>
        <v/>
      </c>
      <c r="F17" s="36">
        <f>IF(AND(D17&lt;&gt;"",D16&lt;&gt;""),D17-D16,"")</f>
        <v/>
      </c>
      <c r="G17" s="32" t="n"/>
      <c r="H17" s="37">
        <f>IF(AND(D17&lt;&gt;"",G17&lt;&gt;""),D17/G17,"")</f>
        <v/>
      </c>
      <c r="I17" s="29" t="n"/>
      <c r="J17" s="29" t="n"/>
      <c r="K17" s="34" t="n"/>
    </row>
    <row r="18" ht="32" customHeight="1">
      <c r="B18" s="38" t="inlineStr">
        <is>
          <t xml:space="preserve">  META FINAL: R$ 16 bi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20">
      <c r="B20" s="39" t="inlineStr">
        <is>
          <t>▶ = campos para preencher (amarelo)  |  Demais campos calculados automaticamente</t>
        </is>
      </c>
    </row>
  </sheetData>
  <mergeCells count="4">
    <mergeCell ref="B4:K4"/>
    <mergeCell ref="B20:K20"/>
    <mergeCell ref="B18:K18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A589"/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2">
      <c r="B2" s="28" t="inlineStr">
        <is>
          <t>TRACKING MENSAL 2027 — Meta R$ 22 bi</t>
        </is>
      </c>
    </row>
    <row r="4" ht="32" customHeight="1">
      <c r="B4" s="19" t="inlineStr">
        <is>
          <t xml:space="preserve">  Preencha colunas amarelas com dados reais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 ht="30" customHeight="1">
      <c r="B5" s="21" t="inlineStr">
        <is>
          <t>Mês</t>
        </is>
      </c>
      <c r="C5" s="21" t="inlineStr">
        <is>
          <t>Meta AuC</t>
        </is>
      </c>
      <c r="D5" s="21" t="inlineStr">
        <is>
          <t>▶ AuC Real</t>
        </is>
      </c>
      <c r="E5" s="21" t="inlineStr">
        <is>
          <t>% Atingido</t>
        </is>
      </c>
      <c r="F5" s="21" t="inlineStr">
        <is>
          <t>Captação Líq.</t>
        </is>
      </c>
      <c r="G5" s="21" t="inlineStr">
        <is>
          <t>▶ Clientes</t>
        </is>
      </c>
      <c r="H5" s="21" t="inlineStr">
        <is>
          <t>Ticket Médio</t>
        </is>
      </c>
      <c r="I5" s="21" t="inlineStr">
        <is>
          <t>▶ B2C AuC</t>
        </is>
      </c>
      <c r="J5" s="21" t="inlineStr">
        <is>
          <t>▶ B2B AuC</t>
        </is>
      </c>
      <c r="K5" s="21" t="inlineStr">
        <is>
          <t>Obs</t>
        </is>
      </c>
    </row>
    <row r="6">
      <c r="B6" s="22" t="inlineStr">
        <is>
          <t>Jan/27</t>
        </is>
      </c>
      <c r="C6" s="23" t="n">
        <v>16500000000</v>
      </c>
      <c r="D6" s="29" t="n"/>
      <c r="E6" s="30">
        <f>IF(D6&lt;&gt;"",D6/C6,"")</f>
        <v/>
      </c>
      <c r="F6" s="31">
        <f>IF(D6&lt;&gt;"",D6-16000000000,"")</f>
        <v/>
      </c>
      <c r="G6" s="32" t="n"/>
      <c r="H6" s="33">
        <f>IF(AND(D6&lt;&gt;"",G6&lt;&gt;""),D6/G6,"")</f>
        <v/>
      </c>
      <c r="I6" s="29" t="n"/>
      <c r="J6" s="29" t="n"/>
      <c r="K6" s="34" t="n"/>
    </row>
    <row r="7">
      <c r="B7" s="25" t="inlineStr">
        <is>
          <t>Fev/27</t>
        </is>
      </c>
      <c r="C7" s="26" t="n">
        <v>17000000000</v>
      </c>
      <c r="D7" s="29" t="n"/>
      <c r="E7" s="35">
        <f>IF(D7&lt;&gt;"",D7/C7,"")</f>
        <v/>
      </c>
      <c r="F7" s="36">
        <f>IF(AND(D7&lt;&gt;"",D6&lt;&gt;""),D7-D6,"")</f>
        <v/>
      </c>
      <c r="G7" s="32" t="n"/>
      <c r="H7" s="37">
        <f>IF(AND(D7&lt;&gt;"",G7&lt;&gt;""),D7/G7,"")</f>
        <v/>
      </c>
      <c r="I7" s="29" t="n"/>
      <c r="J7" s="29" t="n"/>
      <c r="K7" s="34" t="n"/>
    </row>
    <row r="8">
      <c r="B8" s="22" t="inlineStr">
        <is>
          <t>Mar/27</t>
        </is>
      </c>
      <c r="C8" s="23" t="n">
        <v>17500000000</v>
      </c>
      <c r="D8" s="29" t="n"/>
      <c r="E8" s="30">
        <f>IF(D8&lt;&gt;"",D8/C8,"")</f>
        <v/>
      </c>
      <c r="F8" s="31">
        <f>IF(AND(D8&lt;&gt;"",D7&lt;&gt;""),D8-D7,"")</f>
        <v/>
      </c>
      <c r="G8" s="32" t="n"/>
      <c r="H8" s="33">
        <f>IF(AND(D8&lt;&gt;"",G8&lt;&gt;""),D8/G8,"")</f>
        <v/>
      </c>
      <c r="I8" s="29" t="n"/>
      <c r="J8" s="29" t="n"/>
      <c r="K8" s="34" t="n"/>
    </row>
    <row r="9">
      <c r="B9" s="25" t="inlineStr">
        <is>
          <t>Abr/27</t>
        </is>
      </c>
      <c r="C9" s="26" t="n">
        <v>18000000000</v>
      </c>
      <c r="D9" s="29" t="n"/>
      <c r="E9" s="35">
        <f>IF(D9&lt;&gt;"",D9/C9,"")</f>
        <v/>
      </c>
      <c r="F9" s="36">
        <f>IF(AND(D9&lt;&gt;"",D8&lt;&gt;""),D9-D8,"")</f>
        <v/>
      </c>
      <c r="G9" s="32" t="n"/>
      <c r="H9" s="37">
        <f>IF(AND(D9&lt;&gt;"",G9&lt;&gt;""),D9/G9,"")</f>
        <v/>
      </c>
      <c r="I9" s="29" t="n"/>
      <c r="J9" s="29" t="n"/>
      <c r="K9" s="34" t="n"/>
    </row>
    <row r="10">
      <c r="B10" s="22" t="inlineStr">
        <is>
          <t>Mai/27</t>
        </is>
      </c>
      <c r="C10" s="23" t="n">
        <v>18500000000</v>
      </c>
      <c r="D10" s="29" t="n"/>
      <c r="E10" s="30">
        <f>IF(D10&lt;&gt;"",D10/C10,"")</f>
        <v/>
      </c>
      <c r="F10" s="31">
        <f>IF(AND(D10&lt;&gt;"",D9&lt;&gt;""),D10-D9,"")</f>
        <v/>
      </c>
      <c r="G10" s="32" t="n"/>
      <c r="H10" s="33">
        <f>IF(AND(D10&lt;&gt;"",G10&lt;&gt;""),D10/G10,"")</f>
        <v/>
      </c>
      <c r="I10" s="29" t="n"/>
      <c r="J10" s="29" t="n"/>
      <c r="K10" s="34" t="n"/>
    </row>
    <row r="11">
      <c r="B11" s="25" t="inlineStr">
        <is>
          <t>Jun/27</t>
        </is>
      </c>
      <c r="C11" s="26" t="n">
        <v>19000000000</v>
      </c>
      <c r="D11" s="29" t="n"/>
      <c r="E11" s="35">
        <f>IF(D11&lt;&gt;"",D11/C11,"")</f>
        <v/>
      </c>
      <c r="F11" s="36">
        <f>IF(AND(D11&lt;&gt;"",D10&lt;&gt;""),D11-D10,"")</f>
        <v/>
      </c>
      <c r="G11" s="32" t="n"/>
      <c r="H11" s="37">
        <f>IF(AND(D11&lt;&gt;"",G11&lt;&gt;""),D11/G11,"")</f>
        <v/>
      </c>
      <c r="I11" s="29" t="n"/>
      <c r="J11" s="29" t="n"/>
      <c r="K11" s="34" t="n"/>
    </row>
    <row r="12">
      <c r="B12" s="22" t="inlineStr">
        <is>
          <t>Jul/27</t>
        </is>
      </c>
      <c r="C12" s="23" t="n">
        <v>19500000000</v>
      </c>
      <c r="D12" s="29" t="n"/>
      <c r="E12" s="30">
        <f>IF(D12&lt;&gt;"",D12/C12,"")</f>
        <v/>
      </c>
      <c r="F12" s="31">
        <f>IF(AND(D12&lt;&gt;"",D11&lt;&gt;""),D12-D11,"")</f>
        <v/>
      </c>
      <c r="G12" s="32" t="n"/>
      <c r="H12" s="33">
        <f>IF(AND(D12&lt;&gt;"",G12&lt;&gt;""),D12/G12,"")</f>
        <v/>
      </c>
      <c r="I12" s="29" t="n"/>
      <c r="J12" s="29" t="n"/>
      <c r="K12" s="34" t="n"/>
    </row>
    <row r="13">
      <c r="B13" s="25" t="inlineStr">
        <is>
          <t>Ago/27</t>
        </is>
      </c>
      <c r="C13" s="26" t="n">
        <v>20000000000</v>
      </c>
      <c r="D13" s="29" t="n"/>
      <c r="E13" s="35">
        <f>IF(D13&lt;&gt;"",D13/C13,"")</f>
        <v/>
      </c>
      <c r="F13" s="36">
        <f>IF(AND(D13&lt;&gt;"",D12&lt;&gt;""),D13-D12,"")</f>
        <v/>
      </c>
      <c r="G13" s="32" t="n"/>
      <c r="H13" s="37">
        <f>IF(AND(D13&lt;&gt;"",G13&lt;&gt;""),D13/G13,"")</f>
        <v/>
      </c>
      <c r="I13" s="29" t="n"/>
      <c r="J13" s="29" t="n"/>
      <c r="K13" s="34" t="n"/>
    </row>
    <row r="14">
      <c r="B14" s="22" t="inlineStr">
        <is>
          <t>Set/27</t>
        </is>
      </c>
      <c r="C14" s="23" t="n">
        <v>20500000000</v>
      </c>
      <c r="D14" s="29" t="n"/>
      <c r="E14" s="30">
        <f>IF(D14&lt;&gt;"",D14/C14,"")</f>
        <v/>
      </c>
      <c r="F14" s="31">
        <f>IF(AND(D14&lt;&gt;"",D13&lt;&gt;""),D14-D13,"")</f>
        <v/>
      </c>
      <c r="G14" s="32" t="n"/>
      <c r="H14" s="33">
        <f>IF(AND(D14&lt;&gt;"",G14&lt;&gt;""),D14/G14,"")</f>
        <v/>
      </c>
      <c r="I14" s="29" t="n"/>
      <c r="J14" s="29" t="n"/>
      <c r="K14" s="34" t="n"/>
    </row>
    <row r="15">
      <c r="B15" s="25" t="inlineStr">
        <is>
          <t>Out/27</t>
        </is>
      </c>
      <c r="C15" s="26" t="n">
        <v>21000000000</v>
      </c>
      <c r="D15" s="29" t="n"/>
      <c r="E15" s="35">
        <f>IF(D15&lt;&gt;"",D15/C15,"")</f>
        <v/>
      </c>
      <c r="F15" s="36">
        <f>IF(AND(D15&lt;&gt;"",D14&lt;&gt;""),D15-D14,"")</f>
        <v/>
      </c>
      <c r="G15" s="32" t="n"/>
      <c r="H15" s="37">
        <f>IF(AND(D15&lt;&gt;"",G15&lt;&gt;""),D15/G15,"")</f>
        <v/>
      </c>
      <c r="I15" s="29" t="n"/>
      <c r="J15" s="29" t="n"/>
      <c r="K15" s="34" t="n"/>
    </row>
    <row r="16">
      <c r="B16" s="22" t="inlineStr">
        <is>
          <t>Nov/27</t>
        </is>
      </c>
      <c r="C16" s="23" t="n">
        <v>21500000000</v>
      </c>
      <c r="D16" s="29" t="n"/>
      <c r="E16" s="30">
        <f>IF(D16&lt;&gt;"",D16/C16,"")</f>
        <v/>
      </c>
      <c r="F16" s="31">
        <f>IF(AND(D16&lt;&gt;"",D15&lt;&gt;""),D16-D15,"")</f>
        <v/>
      </c>
      <c r="G16" s="32" t="n"/>
      <c r="H16" s="33">
        <f>IF(AND(D16&lt;&gt;"",G16&lt;&gt;""),D16/G16,"")</f>
        <v/>
      </c>
      <c r="I16" s="29" t="n"/>
      <c r="J16" s="29" t="n"/>
      <c r="K16" s="34" t="n"/>
    </row>
    <row r="17">
      <c r="B17" s="25" t="inlineStr">
        <is>
          <t>Dez/27</t>
        </is>
      </c>
      <c r="C17" s="26" t="n">
        <v>22000000000</v>
      </c>
      <c r="D17" s="29" t="n"/>
      <c r="E17" s="35">
        <f>IF(D17&lt;&gt;"",D17/C17,"")</f>
        <v/>
      </c>
      <c r="F17" s="36">
        <f>IF(AND(D17&lt;&gt;"",D16&lt;&gt;""),D17-D16,"")</f>
        <v/>
      </c>
      <c r="G17" s="32" t="n"/>
      <c r="H17" s="37">
        <f>IF(AND(D17&lt;&gt;"",G17&lt;&gt;""),D17/G17,"")</f>
        <v/>
      </c>
      <c r="I17" s="29" t="n"/>
      <c r="J17" s="29" t="n"/>
      <c r="K17" s="34" t="n"/>
    </row>
    <row r="18" ht="32" customHeight="1">
      <c r="B18" s="40" t="inlineStr">
        <is>
          <t xml:space="preserve">  META FINAL: R$ 22 bi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</sheetData>
  <mergeCells count="3">
    <mergeCell ref="B4:K4"/>
    <mergeCell ref="B18:K18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C1"/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28" t="inlineStr">
        <is>
          <t>HISTÓRICO COMPLETO — Nord Wealth</t>
        </is>
      </c>
    </row>
    <row r="4" ht="32" customHeight="1">
      <c r="B4" s="19" t="inlineStr">
        <is>
          <t xml:space="preserve">  Dados Mensais desde Jan/2022</t>
        </is>
      </c>
      <c r="C4" s="20" t="n"/>
      <c r="D4" s="20" t="n"/>
      <c r="E4" s="20" t="n"/>
      <c r="F4" s="20" t="n"/>
      <c r="G4" s="20" t="n"/>
      <c r="H4" s="20" t="n"/>
      <c r="I4" s="20" t="n"/>
    </row>
    <row r="5" ht="30" customHeight="1">
      <c r="B5" s="21" t="inlineStr">
        <is>
          <t>Mês</t>
        </is>
      </c>
      <c r="C5" s="21" t="inlineStr">
        <is>
          <t>Clientes</t>
        </is>
      </c>
      <c r="D5" s="21" t="inlineStr">
        <is>
          <t>AuC Total</t>
        </is>
      </c>
      <c r="E5" s="21" t="inlineStr">
        <is>
          <t>Ticket Médio</t>
        </is>
      </c>
      <c r="F5" s="21" t="inlineStr">
        <is>
          <t>B2C Cli</t>
        </is>
      </c>
      <c r="G5" s="21" t="inlineStr">
        <is>
          <t>B2C AuC</t>
        </is>
      </c>
      <c r="H5" s="21" t="inlineStr">
        <is>
          <t>B2B Cli</t>
        </is>
      </c>
      <c r="I5" s="21" t="inlineStr">
        <is>
          <t>B2B AuC</t>
        </is>
      </c>
    </row>
    <row r="6">
      <c r="B6" s="41" t="inlineStr">
        <is>
          <t>Jan/22</t>
        </is>
      </c>
      <c r="C6" s="24" t="n">
        <v>9</v>
      </c>
      <c r="D6" s="23" t="n">
        <v>32046614</v>
      </c>
      <c r="E6" s="33" t="n">
        <v>3560734.888888889</v>
      </c>
      <c r="F6" s="24" t="n">
        <v>9</v>
      </c>
      <c r="G6" s="23" t="n">
        <v>32046614</v>
      </c>
      <c r="H6" s="24" t="n"/>
      <c r="I6" s="23" t="n"/>
    </row>
    <row r="7">
      <c r="B7" s="42" t="inlineStr">
        <is>
          <t>Feb/22</t>
        </is>
      </c>
      <c r="C7" s="27" t="n">
        <v>26</v>
      </c>
      <c r="D7" s="26" t="n">
        <v>56426051.28</v>
      </c>
      <c r="E7" s="37" t="n">
        <v>2170232.741538462</v>
      </c>
      <c r="F7" s="27" t="n">
        <v>26</v>
      </c>
      <c r="G7" s="26" t="n">
        <v>56426051.28</v>
      </c>
      <c r="H7" s="27" t="n"/>
      <c r="I7" s="26" t="n"/>
    </row>
    <row r="8">
      <c r="B8" s="41" t="inlineStr">
        <is>
          <t>Mar/22</t>
        </is>
      </c>
      <c r="C8" s="24" t="n">
        <v>71</v>
      </c>
      <c r="D8" s="23" t="n">
        <v>154600262.81</v>
      </c>
      <c r="E8" s="33" t="n">
        <v>2177468.49028169</v>
      </c>
      <c r="F8" s="24" t="n">
        <v>71</v>
      </c>
      <c r="G8" s="23" t="n">
        <v>154600262.81</v>
      </c>
      <c r="H8" s="24" t="n"/>
      <c r="I8" s="23" t="n"/>
    </row>
    <row r="9">
      <c r="B9" s="42" t="inlineStr">
        <is>
          <t>Apr/22</t>
        </is>
      </c>
      <c r="C9" s="27" t="n">
        <v>115</v>
      </c>
      <c r="D9" s="26" t="n">
        <v>221010436.74</v>
      </c>
      <c r="E9" s="37" t="n">
        <v>1921829.884695652</v>
      </c>
      <c r="F9" s="27" t="n">
        <v>115</v>
      </c>
      <c r="G9" s="26" t="n">
        <v>221010436.74</v>
      </c>
      <c r="H9" s="27" t="n"/>
      <c r="I9" s="26" t="n"/>
    </row>
    <row r="10">
      <c r="B10" s="41" t="inlineStr">
        <is>
          <t>May/22</t>
        </is>
      </c>
      <c r="C10" s="24" t="n">
        <v>167</v>
      </c>
      <c r="D10" s="23" t="n">
        <v>368244977.9697713</v>
      </c>
      <c r="E10" s="33" t="n">
        <v>2205059.748321983</v>
      </c>
      <c r="F10" s="24" t="n">
        <v>167</v>
      </c>
      <c r="G10" s="23" t="n">
        <v>368244977.9697713</v>
      </c>
      <c r="H10" s="24" t="n"/>
      <c r="I10" s="23" t="n"/>
    </row>
    <row r="11">
      <c r="B11" s="42" t="inlineStr">
        <is>
          <t>Jun/22</t>
        </is>
      </c>
      <c r="C11" s="27" t="n">
        <v>210</v>
      </c>
      <c r="D11" s="26" t="n">
        <v>501591891.954371</v>
      </c>
      <c r="E11" s="37" t="n">
        <v>2388532.818830338</v>
      </c>
      <c r="F11" s="27" t="n">
        <v>210</v>
      </c>
      <c r="G11" s="26" t="n">
        <v>501591891.954371</v>
      </c>
      <c r="H11" s="27" t="n"/>
      <c r="I11" s="26" t="n"/>
    </row>
    <row r="12">
      <c r="B12" s="41" t="inlineStr">
        <is>
          <t>Jul/22</t>
        </is>
      </c>
      <c r="C12" s="24" t="n">
        <v>244</v>
      </c>
      <c r="D12" s="23" t="n">
        <v>580515111.2807425</v>
      </c>
      <c r="E12" s="33" t="n">
        <v>2379160.292134191</v>
      </c>
      <c r="F12" s="24" t="n">
        <v>244</v>
      </c>
      <c r="G12" s="23" t="n">
        <v>580515111.2807425</v>
      </c>
      <c r="H12" s="24" t="n"/>
      <c r="I12" s="23" t="n"/>
    </row>
    <row r="13">
      <c r="B13" s="42" t="inlineStr">
        <is>
          <t>Aug/22</t>
        </is>
      </c>
      <c r="C13" s="27" t="n">
        <v>272</v>
      </c>
      <c r="D13" s="26" t="n">
        <v>700049430.8882637</v>
      </c>
      <c r="E13" s="37" t="n">
        <v>2573711.142971558</v>
      </c>
      <c r="F13" s="27" t="n">
        <v>272</v>
      </c>
      <c r="G13" s="26" t="n">
        <v>700049430.8882637</v>
      </c>
      <c r="H13" s="27" t="n"/>
      <c r="I13" s="26" t="n"/>
    </row>
    <row r="14">
      <c r="B14" s="41" t="inlineStr">
        <is>
          <t>Sep/22</t>
        </is>
      </c>
      <c r="C14" s="24" t="n">
        <v>296</v>
      </c>
      <c r="D14" s="23" t="n">
        <v>775995215.4360121</v>
      </c>
      <c r="E14" s="33" t="n">
        <v>2621605.457554095</v>
      </c>
      <c r="F14" s="24" t="n">
        <v>296</v>
      </c>
      <c r="G14" s="23" t="n">
        <v>775995215.4360121</v>
      </c>
      <c r="H14" s="24" t="n"/>
      <c r="I14" s="23" t="n"/>
    </row>
    <row r="15">
      <c r="B15" s="42" t="inlineStr">
        <is>
          <t>Oct/22</t>
        </is>
      </c>
      <c r="C15" s="27" t="n">
        <v>313</v>
      </c>
      <c r="D15" s="26" t="n">
        <v>909997065.8193501</v>
      </c>
      <c r="E15" s="37" t="n">
        <v>2907338.868432429</v>
      </c>
      <c r="F15" s="27" t="n">
        <v>313</v>
      </c>
      <c r="G15" s="26" t="n">
        <v>909997065.8193501</v>
      </c>
      <c r="H15" s="27" t="n"/>
      <c r="I15" s="26" t="n"/>
    </row>
    <row r="16">
      <c r="B16" s="41" t="inlineStr">
        <is>
          <t>Nov/22</t>
        </is>
      </c>
      <c r="C16" s="24" t="n">
        <v>341</v>
      </c>
      <c r="D16" s="23" t="n">
        <v>1026739528.376175</v>
      </c>
      <c r="E16" s="33" t="n">
        <v>3010966.358874412</v>
      </c>
      <c r="F16" s="24" t="n">
        <v>341</v>
      </c>
      <c r="G16" s="23" t="n">
        <v>1026739528.376175</v>
      </c>
      <c r="H16" s="24" t="n"/>
      <c r="I16" s="23" t="n"/>
    </row>
    <row r="17">
      <c r="B17" s="42" t="inlineStr">
        <is>
          <t>Dec/22</t>
        </is>
      </c>
      <c r="C17" s="27" t="n">
        <v>357</v>
      </c>
      <c r="D17" s="26" t="n">
        <v>1098224000</v>
      </c>
      <c r="E17" s="37" t="n">
        <v>3076257.703081232</v>
      </c>
      <c r="F17" s="27" t="n">
        <v>357</v>
      </c>
      <c r="G17" s="26" t="n">
        <v>1098224000</v>
      </c>
      <c r="H17" s="27" t="n"/>
      <c r="I17" s="26" t="n"/>
    </row>
    <row r="18">
      <c r="B18" s="41" t="inlineStr">
        <is>
          <t>Jan/23</t>
        </is>
      </c>
      <c r="C18" s="24" t="n">
        <v>397</v>
      </c>
      <c r="D18" s="23" t="n">
        <v>1185300345</v>
      </c>
      <c r="E18" s="33" t="n">
        <v>2985643.186397986</v>
      </c>
      <c r="F18" s="24" t="n">
        <v>397</v>
      </c>
      <c r="G18" s="23" t="n">
        <v>1185300345</v>
      </c>
      <c r="H18" s="24" t="n"/>
      <c r="I18" s="23" t="n"/>
    </row>
    <row r="19">
      <c r="B19" s="42" t="inlineStr">
        <is>
          <t>Feb/23</t>
        </is>
      </c>
      <c r="C19" s="27" t="n">
        <v>425</v>
      </c>
      <c r="D19" s="26" t="n">
        <v>1245224696.07</v>
      </c>
      <c r="E19" s="37" t="n">
        <v>2929940.461341176</v>
      </c>
      <c r="F19" s="27" t="n">
        <v>425</v>
      </c>
      <c r="G19" s="26" t="n">
        <v>1245224696.07</v>
      </c>
      <c r="H19" s="27" t="n"/>
      <c r="I19" s="26" t="n"/>
    </row>
    <row r="20">
      <c r="B20" s="41" t="inlineStr">
        <is>
          <t>Mar/23</t>
        </is>
      </c>
      <c r="C20" s="24" t="n">
        <v>468</v>
      </c>
      <c r="D20" s="23" t="n">
        <v>1359109698.81</v>
      </c>
      <c r="E20" s="33" t="n">
        <v>2904080.55301282</v>
      </c>
      <c r="F20" s="24" t="n">
        <v>468</v>
      </c>
      <c r="G20" s="23" t="n">
        <v>1359109698.81</v>
      </c>
      <c r="H20" s="24" t="n"/>
      <c r="I20" s="23" t="n"/>
    </row>
    <row r="21">
      <c r="B21" s="42" t="inlineStr">
        <is>
          <t>Apr/23</t>
        </is>
      </c>
      <c r="C21" s="27" t="n">
        <v>495</v>
      </c>
      <c r="D21" s="26" t="n">
        <v>1455686848.11</v>
      </c>
      <c r="E21" s="37" t="n">
        <v>2940781.511333333</v>
      </c>
      <c r="F21" s="27" t="n">
        <v>495</v>
      </c>
      <c r="G21" s="26" t="n">
        <v>1455686848.11</v>
      </c>
      <c r="H21" s="27" t="n"/>
      <c r="I21" s="26" t="n"/>
    </row>
    <row r="22">
      <c r="B22" s="41" t="inlineStr">
        <is>
          <t>May/23</t>
        </is>
      </c>
      <c r="C22" s="24" t="n">
        <v>600</v>
      </c>
      <c r="D22" s="23" t="n">
        <v>1902492339.080089</v>
      </c>
      <c r="E22" s="33" t="n">
        <v>3170820.565133482</v>
      </c>
      <c r="F22" s="24" t="n">
        <v>600</v>
      </c>
      <c r="G22" s="23" t="n">
        <v>1624242675.02</v>
      </c>
      <c r="H22" s="24" t="n"/>
      <c r="I22" s="23" t="n">
        <v>278249664.0600891</v>
      </c>
    </row>
    <row r="23">
      <c r="B23" s="42" t="inlineStr">
        <is>
          <t>Jun/23</t>
        </is>
      </c>
      <c r="C23" s="27" t="n">
        <v>661</v>
      </c>
      <c r="D23" s="26" t="n">
        <v>2051111913.958344</v>
      </c>
      <c r="E23" s="37" t="n">
        <v>3103043.742750898</v>
      </c>
      <c r="F23" s="27" t="n">
        <v>661</v>
      </c>
      <c r="G23" s="26" t="n">
        <v>1765170615.06</v>
      </c>
      <c r="H23" s="27" t="n"/>
      <c r="I23" s="26" t="n">
        <v>285941298.898344</v>
      </c>
    </row>
    <row r="24">
      <c r="B24" s="41" t="inlineStr">
        <is>
          <t>Jul/23</t>
        </is>
      </c>
      <c r="C24" s="24" t="n">
        <v>729</v>
      </c>
      <c r="D24" s="23" t="n">
        <v>2201496309.436767</v>
      </c>
      <c r="E24" s="33" t="n">
        <v>3019885.198129996</v>
      </c>
      <c r="F24" s="24" t="n">
        <v>729</v>
      </c>
      <c r="G24" s="23" t="n">
        <v>1903292779.37</v>
      </c>
      <c r="H24" s="24" t="n"/>
      <c r="I24" s="23" t="n">
        <v>298203530.0667673</v>
      </c>
    </row>
    <row r="25">
      <c r="B25" s="42" t="inlineStr">
        <is>
          <t>Aug/23</t>
        </is>
      </c>
      <c r="C25" s="27" t="n">
        <v>815</v>
      </c>
      <c r="D25" s="26" t="n">
        <v>2406365499.475827</v>
      </c>
      <c r="E25" s="37" t="n">
        <v>2952595.704878315</v>
      </c>
      <c r="F25" s="27" t="n">
        <v>815</v>
      </c>
      <c r="G25" s="26" t="n">
        <v>2058419451.62</v>
      </c>
      <c r="H25" s="27" t="n"/>
      <c r="I25" s="26" t="n">
        <v>347946047.8558264</v>
      </c>
    </row>
    <row r="26">
      <c r="B26" s="41" t="inlineStr">
        <is>
          <t>Sep/23</t>
        </is>
      </c>
      <c r="C26" s="24" t="n">
        <v>870</v>
      </c>
      <c r="D26" s="23" t="n">
        <v>2592353306.746318</v>
      </c>
      <c r="E26" s="33" t="n">
        <v>2979716.444535998</v>
      </c>
      <c r="F26" s="24" t="n">
        <v>870</v>
      </c>
      <c r="G26" s="23" t="n">
        <v>2180533147.39</v>
      </c>
      <c r="H26" s="24" t="n"/>
      <c r="I26" s="23" t="n">
        <v>411820159.3563177</v>
      </c>
    </row>
    <row r="27">
      <c r="B27" s="42" t="inlineStr">
        <is>
          <t>Oct/23</t>
        </is>
      </c>
      <c r="C27" s="27" t="n">
        <v>952</v>
      </c>
      <c r="D27" s="26" t="n">
        <v>2758554635.89</v>
      </c>
      <c r="E27" s="37" t="n">
        <v>2897641.424254202</v>
      </c>
      <c r="F27" s="27" t="n">
        <v>952</v>
      </c>
      <c r="G27" s="26" t="n">
        <v>2353843298.56</v>
      </c>
      <c r="H27" s="27" t="n"/>
      <c r="I27" s="26" t="n">
        <v>404711337.3299999</v>
      </c>
    </row>
    <row r="28">
      <c r="B28" s="41" t="inlineStr">
        <is>
          <t>Nov/23</t>
        </is>
      </c>
      <c r="C28" s="24" t="n">
        <v>1034</v>
      </c>
      <c r="D28" s="23" t="n">
        <v>2976691862.909999</v>
      </c>
      <c r="E28" s="33" t="n">
        <v>2878812.246528046</v>
      </c>
      <c r="F28" s="24" t="n">
        <v>1034</v>
      </c>
      <c r="G28" s="23" t="n">
        <v>2553541434.699999</v>
      </c>
      <c r="H28" s="24" t="n"/>
      <c r="I28" s="23" t="n">
        <v>423150428.21</v>
      </c>
    </row>
    <row r="29">
      <c r="B29" s="42" t="inlineStr">
        <is>
          <t>Dec/23</t>
        </is>
      </c>
      <c r="C29" s="27" t="n">
        <v>1448</v>
      </c>
      <c r="D29" s="26" t="n">
        <v>3178739568.419999</v>
      </c>
      <c r="E29" s="37" t="n">
        <v>2195262.13288674</v>
      </c>
      <c r="F29" s="27" t="n">
        <v>1128</v>
      </c>
      <c r="G29" s="26" t="n">
        <v>2741012665.299999</v>
      </c>
      <c r="H29" s="27" t="n">
        <v>320</v>
      </c>
      <c r="I29" s="26" t="n">
        <v>437726903.1200001</v>
      </c>
    </row>
    <row r="30">
      <c r="B30" s="41" t="inlineStr">
        <is>
          <t>Jan/24</t>
        </is>
      </c>
      <c r="C30" s="24" t="n">
        <v>1528</v>
      </c>
      <c r="D30" s="23" t="n">
        <v>3332155459.109228</v>
      </c>
      <c r="E30" s="33" t="n">
        <v>2180730.012506039</v>
      </c>
      <c r="F30" s="24" t="n">
        <v>1208</v>
      </c>
      <c r="G30" s="23" t="n">
        <v>2834622240.840001</v>
      </c>
      <c r="H30" s="24" t="n">
        <v>320</v>
      </c>
      <c r="I30" s="23" t="n">
        <v>497533218.269227</v>
      </c>
    </row>
    <row r="31">
      <c r="B31" s="42" t="inlineStr">
        <is>
          <t>Feb/24</t>
        </is>
      </c>
      <c r="C31" s="27" t="n">
        <v>1623</v>
      </c>
      <c r="D31" s="26" t="n">
        <v>3557824493.57978</v>
      </c>
      <c r="E31" s="37" t="n">
        <v>2192128.461848293</v>
      </c>
      <c r="F31" s="27" t="n">
        <v>1274</v>
      </c>
      <c r="G31" s="26" t="n">
        <v>2997132089.679995</v>
      </c>
      <c r="H31" s="27" t="n">
        <v>349</v>
      </c>
      <c r="I31" s="26" t="n">
        <v>560692403.8997855</v>
      </c>
    </row>
    <row r="32">
      <c r="B32" s="41" t="inlineStr">
        <is>
          <t>Mar/24</t>
        </is>
      </c>
      <c r="C32" s="24" t="n">
        <v>1746</v>
      </c>
      <c r="D32" s="23" t="n">
        <v>3830805298.551433</v>
      </c>
      <c r="E32" s="33" t="n">
        <v>2194046.562744234</v>
      </c>
      <c r="F32" s="24" t="n">
        <v>1391</v>
      </c>
      <c r="G32" s="23" t="n">
        <v>3226714461.590003</v>
      </c>
      <c r="H32" s="24" t="n">
        <v>355</v>
      </c>
      <c r="I32" s="23" t="n">
        <v>604090836.9614298</v>
      </c>
    </row>
    <row r="33">
      <c r="B33" s="42" t="inlineStr">
        <is>
          <t>Apr/24</t>
        </is>
      </c>
      <c r="C33" s="27" t="n">
        <v>1814</v>
      </c>
      <c r="D33" s="26" t="n">
        <v>4009872812.008693</v>
      </c>
      <c r="E33" s="37" t="n">
        <v>2210514.229332245</v>
      </c>
      <c r="F33" s="27" t="n">
        <v>1454</v>
      </c>
      <c r="G33" s="26" t="n">
        <v>3411957117.349993</v>
      </c>
      <c r="H33" s="27" t="n">
        <v>360</v>
      </c>
      <c r="I33" s="26" t="n">
        <v>597915694.6587</v>
      </c>
    </row>
    <row r="34">
      <c r="B34" s="41" t="inlineStr">
        <is>
          <t>May/24</t>
        </is>
      </c>
      <c r="C34" s="24" t="n">
        <v>1854</v>
      </c>
      <c r="D34" s="23" t="n">
        <v>4215954931.8856</v>
      </c>
      <c r="E34" s="33" t="n">
        <v>2273977.848913484</v>
      </c>
      <c r="F34" s="24" t="n">
        <v>1489</v>
      </c>
      <c r="G34" s="23" t="n">
        <v>3611296647.23</v>
      </c>
      <c r="H34" s="24" t="n">
        <v>365</v>
      </c>
      <c r="I34" s="23" t="n">
        <v>604658284.6556001</v>
      </c>
    </row>
    <row r="35">
      <c r="B35" s="42" t="inlineStr">
        <is>
          <t>Jun/24</t>
        </is>
      </c>
      <c r="C35" s="27" t="n">
        <v>1892</v>
      </c>
      <c r="D35" s="26" t="n">
        <v>4449614433.322662</v>
      </c>
      <c r="E35" s="37" t="n">
        <v>2351804.668775192</v>
      </c>
      <c r="F35" s="27" t="n">
        <v>1512</v>
      </c>
      <c r="G35" s="26" t="n">
        <v>3762514201.290002</v>
      </c>
      <c r="H35" s="27" t="n">
        <v>380</v>
      </c>
      <c r="I35" s="26" t="n">
        <v>687100232.0326601</v>
      </c>
    </row>
    <row r="36">
      <c r="B36" s="41" t="inlineStr">
        <is>
          <t>Jul/24</t>
        </is>
      </c>
      <c r="C36" s="24" t="n">
        <v>1959</v>
      </c>
      <c r="D36" s="23" t="n">
        <v>4779116086.309998</v>
      </c>
      <c r="E36" s="33" t="n">
        <v>2439569.21200102</v>
      </c>
      <c r="F36" s="24" t="n">
        <v>1559</v>
      </c>
      <c r="G36" s="23" t="n">
        <v>4040906722.229998</v>
      </c>
      <c r="H36" s="24" t="n">
        <v>400</v>
      </c>
      <c r="I36" s="23" t="n">
        <v>738209364.08</v>
      </c>
    </row>
    <row r="37">
      <c r="B37" s="42" t="inlineStr">
        <is>
          <t>Aug/24</t>
        </is>
      </c>
      <c r="C37" s="27" t="n">
        <v>2095</v>
      </c>
      <c r="D37" s="26" t="n">
        <v>5028442418.329004</v>
      </c>
      <c r="E37" s="37" t="n">
        <v>2400211.178200002</v>
      </c>
      <c r="F37" s="27" t="n">
        <v>1595</v>
      </c>
      <c r="G37" s="26" t="n">
        <v>4190504859.580004</v>
      </c>
      <c r="H37" s="27" t="n">
        <v>500</v>
      </c>
      <c r="I37" s="26" t="n">
        <v>837937558.749</v>
      </c>
    </row>
    <row r="38">
      <c r="B38" s="41" t="inlineStr">
        <is>
          <t>Sep/24</t>
        </is>
      </c>
      <c r="C38" s="24" t="n">
        <v>2343</v>
      </c>
      <c r="D38" s="23" t="n">
        <v>5149797902.088493</v>
      </c>
      <c r="E38" s="33" t="n">
        <v>2197950.449034782</v>
      </c>
      <c r="F38" s="24" t="n">
        <v>1655</v>
      </c>
      <c r="G38" s="23" t="n">
        <v>4262729311.689994</v>
      </c>
      <c r="H38" s="24" t="n">
        <v>688</v>
      </c>
      <c r="I38" s="23" t="n">
        <v>887068590.3985</v>
      </c>
    </row>
    <row r="39">
      <c r="B39" s="42" t="inlineStr">
        <is>
          <t>Oct/24</t>
        </is>
      </c>
      <c r="C39" s="27" t="n">
        <v>2474</v>
      </c>
      <c r="D39" s="26" t="n">
        <v>5417687662.956597</v>
      </c>
      <c r="E39" s="37" t="n">
        <v>2189849.499982457</v>
      </c>
      <c r="F39" s="27" t="n">
        <v>1704</v>
      </c>
      <c r="G39" s="26" t="n">
        <v>4439031506.009997</v>
      </c>
      <c r="H39" s="27" t="n">
        <v>770</v>
      </c>
      <c r="I39" s="26" t="n">
        <v>978656156.9466001</v>
      </c>
    </row>
    <row r="40">
      <c r="B40" s="41" t="inlineStr">
        <is>
          <t>Nov/24</t>
        </is>
      </c>
      <c r="C40" s="24" t="n">
        <v>2566</v>
      </c>
      <c r="D40" s="23" t="n">
        <v>5684679115.439501</v>
      </c>
      <c r="E40" s="33" t="n">
        <v>2215385.469773773</v>
      </c>
      <c r="F40" s="24" t="n">
        <v>1766</v>
      </c>
      <c r="G40" s="23" t="n">
        <v>4596028135.240001</v>
      </c>
      <c r="H40" s="24" t="n">
        <v>800</v>
      </c>
      <c r="I40" s="23" t="n">
        <v>1088650980.1995</v>
      </c>
    </row>
    <row r="41">
      <c r="B41" s="42" t="inlineStr">
        <is>
          <t>Dec/24</t>
        </is>
      </c>
      <c r="C41" s="27" t="n">
        <v>2753</v>
      </c>
      <c r="D41" s="26" t="n">
        <v>5925842704.132101</v>
      </c>
      <c r="E41" s="37" t="n">
        <v>2152503.706549982</v>
      </c>
      <c r="F41" s="27" t="n">
        <v>1826</v>
      </c>
      <c r="G41" s="26" t="n">
        <v>4797735732.81</v>
      </c>
      <c r="H41" s="27" t="n">
        <v>927</v>
      </c>
      <c r="I41" s="26" t="n">
        <v>1128106971.3221</v>
      </c>
    </row>
    <row r="42">
      <c r="B42" s="41" t="inlineStr">
        <is>
          <t>Jan/25</t>
        </is>
      </c>
      <c r="C42" s="24" t="n">
        <v>2682</v>
      </c>
      <c r="D42" s="23" t="n">
        <v>6133750712.791899</v>
      </c>
      <c r="E42" s="33" t="n">
        <v>2287006.231466033</v>
      </c>
      <c r="F42" s="24" t="n">
        <v>1855</v>
      </c>
      <c r="G42" s="23" t="n">
        <v>4959079309.429998</v>
      </c>
      <c r="H42" s="24" t="n">
        <v>827</v>
      </c>
      <c r="I42" s="23" t="n">
        <v>1174671403.3619</v>
      </c>
    </row>
    <row r="43">
      <c r="B43" s="42" t="inlineStr">
        <is>
          <t>Feb/25</t>
        </is>
      </c>
      <c r="C43" s="27" t="n">
        <v>2724</v>
      </c>
      <c r="D43" s="26" t="n">
        <v>6297635292.536399</v>
      </c>
      <c r="E43" s="37" t="n">
        <v>2311907.229271806</v>
      </c>
      <c r="F43" s="27" t="n">
        <v>1896</v>
      </c>
      <c r="G43" s="26" t="n">
        <v>5099244439.489999</v>
      </c>
      <c r="H43" s="27" t="n">
        <v>828</v>
      </c>
      <c r="I43" s="26" t="n">
        <v>1198390853.0464</v>
      </c>
    </row>
    <row r="44">
      <c r="B44" s="41" t="inlineStr">
        <is>
          <t>Mar/25</t>
        </is>
      </c>
      <c r="C44" s="24" t="n">
        <v>2738</v>
      </c>
      <c r="D44" s="23" t="n">
        <v>6559166661.3322</v>
      </c>
      <c r="E44" s="33" t="n">
        <v>2395605.062575676</v>
      </c>
      <c r="F44" s="24" t="n">
        <v>1909</v>
      </c>
      <c r="G44" s="23" t="n">
        <v>5337044740.08</v>
      </c>
      <c r="H44" s="24" t="n">
        <v>829</v>
      </c>
      <c r="I44" s="23" t="n">
        <v>1222121921.2522</v>
      </c>
    </row>
    <row r="45">
      <c r="B45" s="42" t="inlineStr">
        <is>
          <t>Apr/25</t>
        </is>
      </c>
      <c r="C45" s="27" t="n">
        <v>2910</v>
      </c>
      <c r="D45" s="26" t="n">
        <v>6789550227.971207</v>
      </c>
      <c r="E45" s="37" t="n">
        <v>2333178.772498697</v>
      </c>
      <c r="F45" s="27" t="n">
        <v>1922</v>
      </c>
      <c r="G45" s="26" t="n">
        <v>5514379467.850006</v>
      </c>
      <c r="H45" s="27" t="n">
        <v>988</v>
      </c>
      <c r="I45" s="26" t="n">
        <v>1275170760.1212</v>
      </c>
    </row>
    <row r="46">
      <c r="B46" s="41" t="inlineStr">
        <is>
          <t>May/25</t>
        </is>
      </c>
      <c r="C46" s="24" t="n">
        <v>2927</v>
      </c>
      <c r="D46" s="23" t="n">
        <v>6977462997.725</v>
      </c>
      <c r="E46" s="33" t="n">
        <v>2383827.467620431</v>
      </c>
      <c r="F46" s="24" t="n">
        <v>1934</v>
      </c>
      <c r="G46" s="23" t="n">
        <v>5706225030.440001</v>
      </c>
      <c r="H46" s="24" t="n">
        <v>993</v>
      </c>
      <c r="I46" s="23" t="n">
        <v>1271237967.284999</v>
      </c>
    </row>
    <row r="47">
      <c r="B47" s="42" t="inlineStr">
        <is>
          <t>Jun/25</t>
        </is>
      </c>
      <c r="C47" s="27" t="n">
        <v>3135</v>
      </c>
      <c r="D47" s="26" t="n">
        <v>7181128592.655008</v>
      </c>
      <c r="E47" s="37" t="n">
        <v>2290631.130033495</v>
      </c>
      <c r="F47" s="27" t="n">
        <v>1943</v>
      </c>
      <c r="G47" s="26" t="n">
        <v>5845476404.620008</v>
      </c>
      <c r="H47" s="27" t="n">
        <v>1192</v>
      </c>
      <c r="I47" s="26" t="n">
        <v>1335652188.035</v>
      </c>
    </row>
    <row r="48">
      <c r="B48" s="41" t="inlineStr">
        <is>
          <t>Jul/25</t>
        </is>
      </c>
      <c r="C48" s="24" t="n">
        <v>3352</v>
      </c>
      <c r="D48" s="23" t="n">
        <v>7535162848.511999</v>
      </c>
      <c r="E48" s="33" t="n">
        <v>2247960.277002386</v>
      </c>
      <c r="F48" s="24" t="n">
        <v>1961</v>
      </c>
      <c r="G48" s="23" t="n">
        <v>6033061676.389999</v>
      </c>
      <c r="H48" s="24" t="n">
        <v>1391</v>
      </c>
      <c r="I48" s="23" t="n">
        <v>1502101172.122</v>
      </c>
    </row>
    <row r="49">
      <c r="B49" s="42" t="inlineStr">
        <is>
          <t>Aug/25</t>
        </is>
      </c>
      <c r="C49" s="27" t="n">
        <v>3467</v>
      </c>
      <c r="D49" s="26" t="n">
        <v>7933002262.51259</v>
      </c>
      <c r="E49" s="37" t="n">
        <v>2288146.023222553</v>
      </c>
      <c r="F49" s="27" t="n">
        <v>1998</v>
      </c>
      <c r="G49" s="26" t="n">
        <v>6241053375.349991</v>
      </c>
      <c r="H49" s="27" t="n">
        <v>1469</v>
      </c>
      <c r="I49" s="26" t="n">
        <v>1691948887.1626</v>
      </c>
    </row>
    <row r="50">
      <c r="B50" s="41" t="inlineStr">
        <is>
          <t>Sep/25</t>
        </is>
      </c>
      <c r="C50" s="24" t="n">
        <v>3733</v>
      </c>
      <c r="D50" s="23" t="n">
        <v>8294513617.830007</v>
      </c>
      <c r="E50" s="33" t="n">
        <v>2221943.106839005</v>
      </c>
      <c r="F50" s="24" t="n">
        <v>2055</v>
      </c>
      <c r="G50" s="23" t="n">
        <v>6510963110.190006</v>
      </c>
      <c r="H50" s="24" t="n">
        <v>1678</v>
      </c>
      <c r="I50" s="23" t="n">
        <v>1783550507.64</v>
      </c>
    </row>
    <row r="51">
      <c r="B51" s="42" t="inlineStr">
        <is>
          <t>Oct/25</t>
        </is>
      </c>
      <c r="C51" s="27" t="n">
        <v>3981</v>
      </c>
      <c r="D51" s="26" t="n">
        <v>8753699463.510012</v>
      </c>
      <c r="E51" s="37" t="n">
        <v>2198869.495983424</v>
      </c>
      <c r="F51" s="27" t="n">
        <v>2098</v>
      </c>
      <c r="G51" s="26" t="n">
        <v>6750437351.900011</v>
      </c>
      <c r="H51" s="27" t="n">
        <v>1883</v>
      </c>
      <c r="I51" s="26" t="n">
        <v>2003262111.61</v>
      </c>
    </row>
    <row r="52">
      <c r="B52" s="41" t="inlineStr">
        <is>
          <t>Nov/25</t>
        </is>
      </c>
      <c r="C52" s="24" t="n">
        <v>4164</v>
      </c>
      <c r="D52" s="23" t="n">
        <v>9196846157.459988</v>
      </c>
      <c r="E52" s="33" t="n">
        <v>2208656.618025934</v>
      </c>
      <c r="F52" s="24" t="n">
        <v>2152</v>
      </c>
      <c r="G52" s="23" t="n">
        <v>6938933004.259988</v>
      </c>
      <c r="H52" s="24" t="n">
        <v>2012</v>
      </c>
      <c r="I52" s="23" t="n">
        <v>2257913153.2</v>
      </c>
    </row>
    <row r="53">
      <c r="B53" s="42" t="inlineStr">
        <is>
          <t>Dec/25</t>
        </is>
      </c>
      <c r="C53" s="27" t="n">
        <v>4426</v>
      </c>
      <c r="D53" s="26" t="n">
        <v>9994583842.210018</v>
      </c>
      <c r="E53" s="37" t="n">
        <v>2258152.698194762</v>
      </c>
      <c r="F53" s="27" t="n">
        <v>2183</v>
      </c>
      <c r="G53" s="26" t="n">
        <v>7187066133.560018</v>
      </c>
      <c r="H53" s="27" t="n">
        <v>2243</v>
      </c>
      <c r="I53" s="26" t="n">
        <v>2807517708.65</v>
      </c>
    </row>
  </sheetData>
  <mergeCells count="2">
    <mergeCell ref="B2:I2"/>
    <mergeCell ref="B4:I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2026-03-24T17:23:35Z</dcterms:created>
  <dcterms:modified xmlns:dcterms="http://purl.org/dc/terms/" xmlns:xsi="http://www.w3.org/2001/XMLSchema-instance" xsi:type="dcterms:W3CDTF">2026-03-24T17:23:35Z</dcterms:modified>
</cp:coreProperties>
</file>