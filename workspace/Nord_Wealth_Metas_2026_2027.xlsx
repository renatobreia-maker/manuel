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Metas" sheetId="1" state="visible" r:id="rId1"/>
    <sheet xmlns:r="http://schemas.openxmlformats.org/officeDocument/2006/relationships" name="Historico" sheetId="2" state="visible" r:id="rId2"/>
    <sheet xmlns:r="http://schemas.openxmlformats.org/officeDocument/2006/relationships" name="B2C vs B2B" sheetId="3" state="visible" r:id="rId3"/>
    <sheet xmlns:r="http://schemas.openxmlformats.org/officeDocument/2006/relationships" name="Meta 2027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,,&quot; bi&quot;"/>
    <numFmt numFmtId="165" formatCode="0.0%"/>
    <numFmt numFmtId="166" formatCode="#,##0.00,,&quot; MM/mes&quot;"/>
    <numFmt numFmtId="167" formatCode="#,##0.00,,&quot; MM&quot;"/>
  </numFmts>
  <fonts count="12">
    <font>
      <name val="Calibri"/>
      <family val="2"/>
      <color theme="1"/>
      <sz val="11"/>
      <scheme val="minor"/>
    </font>
    <font>
      <name val="Calibri"/>
      <b val="1"/>
      <color rgb="001B2A4A"/>
      <sz val="16"/>
    </font>
    <font>
      <name val="Calibri"/>
      <i val="1"/>
      <color rgb="002E5090"/>
      <sz val="11"/>
    </font>
    <font>
      <name val="Calibri"/>
      <b val="1"/>
      <color rgb="00FFFFFF"/>
      <sz val="10"/>
    </font>
    <font>
      <name val="Calibri"/>
      <b val="1"/>
      <color rgb="001B2A4A"/>
      <sz val="14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1"/>
    </font>
    <font>
      <name val="Calibri"/>
      <i val="1"/>
      <color rgb="00F39C12"/>
      <sz val="9"/>
    </font>
    <font>
      <name val="Calibri"/>
      <b val="1"/>
      <color rgb="00FFFFFF"/>
      <sz val="12"/>
    </font>
    <font>
      <name val="Calibri"/>
      <i val="1"/>
      <color rgb="00888888"/>
      <sz val="10"/>
    </font>
  </fonts>
  <fills count="7">
    <fill>
      <patternFill/>
    </fill>
    <fill>
      <patternFill patternType="gray125"/>
    </fill>
    <fill>
      <patternFill patternType="solid">
        <fgColor rgb="002E5090"/>
        <bgColor rgb="002E5090"/>
      </patternFill>
    </fill>
    <fill>
      <patternFill patternType="solid">
        <fgColor rgb="001B2A4A"/>
        <bgColor rgb="001B2A4A"/>
      </patternFill>
    </fill>
    <fill>
      <patternFill patternType="solid">
        <fgColor rgb="00F2F2F2"/>
        <bgColor rgb="00F2F2F2"/>
      </patternFill>
    </fill>
    <fill>
      <patternFill patternType="solid">
        <fgColor rgb="00FFF8E1"/>
        <bgColor rgb="00FFF8E1"/>
      </patternFill>
    </fill>
    <fill>
      <patternFill patternType="solid">
        <fgColor rgb="0027AE60"/>
        <bgColor rgb="0027AE6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164" fontId="4" fillId="0" borderId="1" applyAlignment="1" pivotButton="0" quotePrefix="0" xfId="0">
      <alignment horizontal="center"/>
    </xf>
    <xf numFmtId="165" fontId="4" fillId="0" borderId="1" applyAlignment="1" pivotButton="0" quotePrefix="0" xfId="0">
      <alignment horizontal="center"/>
    </xf>
    <xf numFmtId="166" fontId="4" fillId="0" borderId="1" applyAlignment="1" pivotButton="0" quotePrefix="0" xfId="0">
      <alignment horizontal="center"/>
    </xf>
    <xf numFmtId="0" fontId="5" fillId="3" borderId="0" pivotButton="0" quotePrefix="0" xfId="0"/>
    <xf numFmtId="0" fontId="0" fillId="3" borderId="0" pivotButton="0" quotePrefix="0" xfId="0"/>
    <xf numFmtId="0" fontId="6" fillId="4" borderId="1" applyAlignment="1" pivotButton="0" quotePrefix="0" xfId="0">
      <alignment horizontal="center"/>
    </xf>
    <xf numFmtId="164" fontId="7" fillId="0" borderId="1" applyAlignment="1" pivotButton="0" quotePrefix="0" xfId="0">
      <alignment horizontal="center"/>
    </xf>
    <xf numFmtId="164" fontId="7" fillId="5" borderId="1" applyAlignment="1" pivotButton="0" quotePrefix="0" xfId="0">
      <alignment horizontal="center"/>
    </xf>
    <xf numFmtId="165" fontId="6" fillId="0" borderId="1" applyAlignment="1" pivotButton="0" quotePrefix="0" xfId="0">
      <alignment horizontal="center"/>
    </xf>
    <xf numFmtId="167" fontId="7" fillId="0" borderId="1" applyAlignment="1" pivotButton="0" quotePrefix="0" xfId="0">
      <alignment horizontal="center"/>
    </xf>
    <xf numFmtId="3" fontId="7" fillId="5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8" fillId="6" borderId="1" applyAlignment="1" pivotButton="0" quotePrefix="0" xfId="0">
      <alignment horizontal="center"/>
    </xf>
    <xf numFmtId="164" fontId="8" fillId="6" borderId="1" applyAlignment="1" pivotButton="0" quotePrefix="0" xfId="0">
      <alignment horizontal="center"/>
    </xf>
    <xf numFmtId="0" fontId="0" fillId="6" borderId="1" pivotButton="0" quotePrefix="0" xfId="0"/>
    <xf numFmtId="0" fontId="9" fillId="0" borderId="0" pivotButton="0" quotePrefix="0" xfId="0"/>
    <xf numFmtId="0" fontId="4" fillId="0" borderId="0" pivotButton="0" quotePrefix="0" xfId="0"/>
    <xf numFmtId="3" fontId="7" fillId="0" borderId="1" applyAlignment="1" pivotButton="0" quotePrefix="0" xfId="0">
      <alignment horizontal="center"/>
    </xf>
    <xf numFmtId="165" fontId="7" fillId="0" borderId="1" applyAlignment="1" pivotButton="0" quotePrefix="0" xfId="0">
      <alignment horizontal="center"/>
    </xf>
    <xf numFmtId="0" fontId="10" fillId="2" borderId="0" pivotButton="0" quotePrefix="0" xfId="0"/>
    <xf numFmtId="0" fontId="0" fillId="2" borderId="0" pivotButton="0" quotePrefix="0" xfId="0"/>
    <xf numFmtId="0" fontId="0" fillId="5" borderId="1" pivotButton="0" quotePrefix="0" xfId="0"/>
    <xf numFmtId="0" fontId="10" fillId="6" borderId="0" pivotButton="0" quotePrefix="0" xfId="0"/>
    <xf numFmtId="0" fontId="0" fillId="6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H25"/>
  <sheetViews>
    <sheetView workbookViewId="0">
      <selection activeCell="A1" sqref="A1"/>
    </sheetView>
  </sheetViews>
  <sheetFormatPr baseColWidth="8" defaultRowHeight="15"/>
  <cols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2">
      <c r="B2" s="1" t="inlineStr">
        <is>
          <t>NORD WEALTH - Acompanhamento de Metas</t>
        </is>
      </c>
    </row>
    <row r="3">
      <c r="B3" s="2" t="inlineStr">
        <is>
          <t>Meta: R$ 16 bi (Dez/2026) | R$ 22 bi (Dez/2027)</t>
        </is>
      </c>
    </row>
    <row r="5">
      <c r="B5" s="3" t="inlineStr">
        <is>
          <t>AuC Atual (Dez/25)</t>
        </is>
      </c>
      <c r="C5" s="3" t="inlineStr">
        <is>
          <t>Meta Dez/2026</t>
        </is>
      </c>
      <c r="D5" s="3" t="inlineStr">
        <is>
          <t>Gap para Meta</t>
        </is>
      </c>
      <c r="E5" s="3" t="inlineStr">
        <is>
          <t>Crescimento Necessario</t>
        </is>
      </c>
      <c r="F5" s="3" t="inlineStr">
        <is>
          <t>Ritmo Mensal Necessario</t>
        </is>
      </c>
    </row>
    <row r="6">
      <c r="B6" s="4" t="n">
        <v>9994583842.209999</v>
      </c>
      <c r="C6" s="4" t="n">
        <v>16000000000</v>
      </c>
      <c r="D6" s="4" t="n">
        <v>6005416157.79</v>
      </c>
      <c r="E6" s="5" t="n">
        <v>0.6008</v>
      </c>
      <c r="F6" s="6" t="n">
        <v>500451346.48</v>
      </c>
    </row>
    <row r="9">
      <c r="B9" s="7" t="inlineStr">
        <is>
          <t>Acompanhamento Mensal 2026 - Consolidado</t>
        </is>
      </c>
      <c r="C9" s="8" t="n"/>
      <c r="D9" s="8" t="n"/>
      <c r="E9" s="8" t="n"/>
      <c r="F9" s="8" t="n"/>
      <c r="G9" s="8" t="n"/>
      <c r="H9" s="8" t="n"/>
    </row>
    <row r="10">
      <c r="B10" s="3" t="inlineStr">
        <is>
          <t>Mes</t>
        </is>
      </c>
      <c r="C10" s="3" t="inlineStr">
        <is>
          <t>Meta AuC (R$)</t>
        </is>
      </c>
      <c r="D10" s="3" t="inlineStr">
        <is>
          <t>AuC Real (R$)</t>
        </is>
      </c>
      <c r="E10" s="3" t="inlineStr">
        <is>
          <t>Atingimento</t>
        </is>
      </c>
      <c r="F10" s="3" t="inlineStr">
        <is>
          <t>Captacao Liquida</t>
        </is>
      </c>
      <c r="G10" s="3" t="inlineStr">
        <is>
          <t>Clientes</t>
        </is>
      </c>
      <c r="H10" s="3" t="inlineStr">
        <is>
          <t>Ticket Medio</t>
        </is>
      </c>
    </row>
    <row r="11">
      <c r="B11" s="9" t="inlineStr">
        <is>
          <t>Jan/26</t>
        </is>
      </c>
      <c r="C11" s="10" t="n">
        <v>10495035188.6925</v>
      </c>
      <c r="D11" s="11" t="n"/>
      <c r="E11" s="12">
        <f>IF(D11&lt;&gt;"",D11/C11,"")</f>
        <v/>
      </c>
      <c r="F11" s="13">
        <f>IF(D11&lt;&gt;"",D11-9994583842.21,"")</f>
        <v/>
      </c>
      <c r="G11" s="14" t="n"/>
      <c r="H11" s="13">
        <f>IF(AND(D11&lt;&gt;"",G11&lt;&gt;""),D11/G11,"")</f>
        <v/>
      </c>
    </row>
    <row r="12">
      <c r="B12" s="15" t="inlineStr">
        <is>
          <t>Fev/26</t>
        </is>
      </c>
      <c r="C12" s="10" t="n">
        <v>10995486535.175</v>
      </c>
      <c r="D12" s="11" t="n"/>
      <c r="E12" s="12">
        <f>IF(D12&lt;&gt;"",D12/C12,"")</f>
        <v/>
      </c>
      <c r="F12" s="13">
        <f>IF(AND(D12&lt;&gt;"",D11&lt;&gt;""),D12-D11,"")</f>
        <v/>
      </c>
      <c r="G12" s="14" t="n"/>
      <c r="H12" s="13">
        <f>IF(AND(D12&lt;&gt;"",G12&lt;&gt;""),D12/G12,"")</f>
        <v/>
      </c>
    </row>
    <row r="13">
      <c r="B13" s="9" t="inlineStr">
        <is>
          <t>Mar/26</t>
        </is>
      </c>
      <c r="C13" s="10" t="n">
        <v>11495937881.6575</v>
      </c>
      <c r="D13" s="11" t="n"/>
      <c r="E13" s="12">
        <f>IF(D13&lt;&gt;"",D13/C13,"")</f>
        <v/>
      </c>
      <c r="F13" s="13">
        <f>IF(AND(D13&lt;&gt;"",D12&lt;&gt;""),D13-D12,"")</f>
        <v/>
      </c>
      <c r="G13" s="14" t="n"/>
      <c r="H13" s="13">
        <f>IF(AND(D13&lt;&gt;"",G13&lt;&gt;""),D13/G13,"")</f>
        <v/>
      </c>
    </row>
    <row r="14">
      <c r="B14" s="15" t="inlineStr">
        <is>
          <t>Abr/26</t>
        </is>
      </c>
      <c r="C14" s="10" t="n">
        <v>11996389228.14</v>
      </c>
      <c r="D14" s="11" t="n"/>
      <c r="E14" s="12">
        <f>IF(D14&lt;&gt;"",D14/C14,"")</f>
        <v/>
      </c>
      <c r="F14" s="13">
        <f>IF(AND(D14&lt;&gt;"",D13&lt;&gt;""),D14-D13,"")</f>
        <v/>
      </c>
      <c r="G14" s="14" t="n"/>
      <c r="H14" s="13">
        <f>IF(AND(D14&lt;&gt;"",G14&lt;&gt;""),D14/G14,"")</f>
        <v/>
      </c>
    </row>
    <row r="15">
      <c r="B15" s="9" t="inlineStr">
        <is>
          <t>Mai/26</t>
        </is>
      </c>
      <c r="C15" s="10" t="n">
        <v>12496840574.6225</v>
      </c>
      <c r="D15" s="11" t="n"/>
      <c r="E15" s="12">
        <f>IF(D15&lt;&gt;"",D15/C15,"")</f>
        <v/>
      </c>
      <c r="F15" s="13">
        <f>IF(AND(D15&lt;&gt;"",D14&lt;&gt;""),D15-D14,"")</f>
        <v/>
      </c>
      <c r="G15" s="14" t="n"/>
      <c r="H15" s="13">
        <f>IF(AND(D15&lt;&gt;"",G15&lt;&gt;""),D15/G15,"")</f>
        <v/>
      </c>
    </row>
    <row r="16">
      <c r="B16" s="15" t="inlineStr">
        <is>
          <t>Jun/26</t>
        </is>
      </c>
      <c r="C16" s="10" t="n">
        <v>12997291921.105</v>
      </c>
      <c r="D16" s="11" t="n"/>
      <c r="E16" s="12">
        <f>IF(D16&lt;&gt;"",D16/C16,"")</f>
        <v/>
      </c>
      <c r="F16" s="13">
        <f>IF(AND(D16&lt;&gt;"",D15&lt;&gt;""),D16-D15,"")</f>
        <v/>
      </c>
      <c r="G16" s="14" t="n"/>
      <c r="H16" s="13">
        <f>IF(AND(D16&lt;&gt;"",G16&lt;&gt;""),D16/G16,"")</f>
        <v/>
      </c>
    </row>
    <row r="17">
      <c r="B17" s="9" t="inlineStr">
        <is>
          <t>Jul/26</t>
        </is>
      </c>
      <c r="C17" s="10" t="n">
        <v>13497743267.5875</v>
      </c>
      <c r="D17" s="11" t="n"/>
      <c r="E17" s="12">
        <f>IF(D17&lt;&gt;"",D17/C17,"")</f>
        <v/>
      </c>
      <c r="F17" s="13">
        <f>IF(AND(D17&lt;&gt;"",D16&lt;&gt;""),D17-D16,"")</f>
        <v/>
      </c>
      <c r="G17" s="14" t="n"/>
      <c r="H17" s="13">
        <f>IF(AND(D17&lt;&gt;"",G17&lt;&gt;""),D17/G17,"")</f>
        <v/>
      </c>
    </row>
    <row r="18">
      <c r="B18" s="15" t="inlineStr">
        <is>
          <t>Ago/26</t>
        </is>
      </c>
      <c r="C18" s="10" t="n">
        <v>13998194614.07</v>
      </c>
      <c r="D18" s="11" t="n"/>
      <c r="E18" s="12">
        <f>IF(D18&lt;&gt;"",D18/C18,"")</f>
        <v/>
      </c>
      <c r="F18" s="13">
        <f>IF(AND(D18&lt;&gt;"",D17&lt;&gt;""),D18-D17,"")</f>
        <v/>
      </c>
      <c r="G18" s="14" t="n"/>
      <c r="H18" s="13">
        <f>IF(AND(D18&lt;&gt;"",G18&lt;&gt;""),D18/G18,"")</f>
        <v/>
      </c>
    </row>
    <row r="19">
      <c r="B19" s="9" t="inlineStr">
        <is>
          <t>Set/26</t>
        </is>
      </c>
      <c r="C19" s="10" t="n">
        <v>14498645960.5525</v>
      </c>
      <c r="D19" s="11" t="n"/>
      <c r="E19" s="12">
        <f>IF(D19&lt;&gt;"",D19/C19,"")</f>
        <v/>
      </c>
      <c r="F19" s="13">
        <f>IF(AND(D19&lt;&gt;"",D18&lt;&gt;""),D19-D18,"")</f>
        <v/>
      </c>
      <c r="G19" s="14" t="n"/>
      <c r="H19" s="13">
        <f>IF(AND(D19&lt;&gt;"",G19&lt;&gt;""),D19/G19,"")</f>
        <v/>
      </c>
    </row>
    <row r="20">
      <c r="B20" s="15" t="inlineStr">
        <is>
          <t>Out/26</t>
        </is>
      </c>
      <c r="C20" s="10" t="n">
        <v>14999097307.035</v>
      </c>
      <c r="D20" s="11" t="n"/>
      <c r="E20" s="12">
        <f>IF(D20&lt;&gt;"",D20/C20,"")</f>
        <v/>
      </c>
      <c r="F20" s="13">
        <f>IF(AND(D20&lt;&gt;"",D19&lt;&gt;""),D20-D19,"")</f>
        <v/>
      </c>
      <c r="G20" s="14" t="n"/>
      <c r="H20" s="13">
        <f>IF(AND(D20&lt;&gt;"",G20&lt;&gt;""),D20/G20,"")</f>
        <v/>
      </c>
    </row>
    <row r="21">
      <c r="B21" s="9" t="inlineStr">
        <is>
          <t>Nov/26</t>
        </is>
      </c>
      <c r="C21" s="10" t="n">
        <v>15499548653.5175</v>
      </c>
      <c r="D21" s="11" t="n"/>
      <c r="E21" s="12">
        <f>IF(D21&lt;&gt;"",D21/C21,"")</f>
        <v/>
      </c>
      <c r="F21" s="13">
        <f>IF(AND(D21&lt;&gt;"",D20&lt;&gt;""),D21-D20,"")</f>
        <v/>
      </c>
      <c r="G21" s="14" t="n"/>
      <c r="H21" s="13">
        <f>IF(AND(D21&lt;&gt;"",G21&lt;&gt;""),D21/G21,"")</f>
        <v/>
      </c>
    </row>
    <row r="22">
      <c r="B22" s="15" t="inlineStr">
        <is>
          <t>Dez/26</t>
        </is>
      </c>
      <c r="C22" s="10" t="n">
        <v>16000000000</v>
      </c>
      <c r="D22" s="11" t="n"/>
      <c r="E22" s="12">
        <f>IF(D22&lt;&gt;"",D22/C22,"")</f>
        <v/>
      </c>
      <c r="F22" s="13">
        <f>IF(AND(D22&lt;&gt;"",D21&lt;&gt;""),D22-D21,"")</f>
        <v/>
      </c>
      <c r="G22" s="14" t="n"/>
      <c r="H22" s="13">
        <f>IF(AND(D22&lt;&gt;"",G22&lt;&gt;""),D22/G22,"")</f>
        <v/>
      </c>
    </row>
    <row r="23">
      <c r="B23" s="16" t="inlineStr">
        <is>
          <t>META FINAL</t>
        </is>
      </c>
      <c r="C23" s="17" t="n">
        <v>16000000000</v>
      </c>
      <c r="D23" s="18" t="n"/>
      <c r="E23" s="18" t="n"/>
      <c r="F23" s="18" t="n"/>
      <c r="G23" s="18" t="n"/>
      <c r="H23" s="18" t="n"/>
    </row>
    <row r="25">
      <c r="B25" s="19" t="inlineStr">
        <is>
          <t>Celulas amarelas = preencher com dados reais mensalmente</t>
        </is>
      </c>
    </row>
  </sheetData>
  <mergeCells count="4">
    <mergeCell ref="B3:H3"/>
    <mergeCell ref="B2:H2"/>
    <mergeCell ref="B25:H25"/>
    <mergeCell ref="B9:H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090"/>
    <outlinePr summaryBelow="1" summaryRight="1"/>
    <pageSetUpPr/>
  </sheetPr>
  <dimension ref="B2:G13"/>
  <sheetViews>
    <sheetView workbookViewId="0">
      <selection activeCell="A1" sqref="A1"/>
    </sheetView>
  </sheetViews>
  <sheetFormatPr baseColWidth="8" defaultRowHeight="15"/>
  <cols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2">
      <c r="B2" s="20" t="inlineStr">
        <is>
          <t>Historico - Nord Wealth Consolidado</t>
        </is>
      </c>
    </row>
    <row r="4">
      <c r="B4" s="3" t="inlineStr">
        <is>
          <t>Periodo</t>
        </is>
      </c>
      <c r="C4" s="3" t="inlineStr">
        <is>
          <t>Clientes</t>
        </is>
      </c>
      <c r="D4" s="3" t="inlineStr">
        <is>
          <t>AuC (R$)</t>
        </is>
      </c>
      <c r="E4" s="3" t="inlineStr">
        <is>
          <t>Ticket Medio</t>
        </is>
      </c>
      <c r="F4" s="3" t="inlineStr">
        <is>
          <t>Cresc. AuC</t>
        </is>
      </c>
      <c r="G4" s="3" t="inlineStr">
        <is>
          <t>Cresc. Clientes</t>
        </is>
      </c>
    </row>
    <row r="5">
      <c r="B5" s="15" t="inlineStr">
        <is>
          <t>Jan/22</t>
        </is>
      </c>
      <c r="C5" s="21" t="n">
        <v>9</v>
      </c>
      <c r="D5" s="10" t="n">
        <v>32046614</v>
      </c>
      <c r="E5" s="13" t="n">
        <v>3560735</v>
      </c>
    </row>
    <row r="6">
      <c r="B6" s="15" t="inlineStr">
        <is>
          <t>Jun/22</t>
        </is>
      </c>
      <c r="C6" s="21" t="n">
        <v>210</v>
      </c>
      <c r="D6" s="10" t="n">
        <v>501591892</v>
      </c>
      <c r="E6" s="13" t="n">
        <v>2388533</v>
      </c>
    </row>
    <row r="7">
      <c r="B7" s="15" t="inlineStr">
        <is>
          <t>Dez/22</t>
        </is>
      </c>
      <c r="C7" s="21" t="n">
        <v>357</v>
      </c>
      <c r="D7" s="10" t="n">
        <v>1098224000</v>
      </c>
      <c r="E7" s="13" t="n">
        <v>3076258</v>
      </c>
    </row>
    <row r="8">
      <c r="B8" s="15" t="inlineStr">
        <is>
          <t>Jun/23</t>
        </is>
      </c>
      <c r="C8" s="21" t="n">
        <v>661</v>
      </c>
      <c r="D8" s="10" t="n">
        <v>2051111914</v>
      </c>
      <c r="E8" s="13" t="n">
        <v>3103044</v>
      </c>
      <c r="F8" s="22" t="n">
        <v>0.867</v>
      </c>
      <c r="G8" s="22" t="n">
        <v>0.851</v>
      </c>
    </row>
    <row r="9">
      <c r="B9" s="15" t="inlineStr">
        <is>
          <t>Dez/23</t>
        </is>
      </c>
      <c r="C9" s="21" t="n">
        <v>1448</v>
      </c>
      <c r="D9" s="10" t="n">
        <v>3178739568</v>
      </c>
      <c r="E9" s="13" t="n">
        <v>2195262</v>
      </c>
      <c r="F9" s="22" t="n">
        <v>0.55</v>
      </c>
      <c r="G9" s="22" t="n">
        <v>1.19</v>
      </c>
    </row>
    <row r="10">
      <c r="B10" s="15" t="inlineStr">
        <is>
          <t>Jun/24</t>
        </is>
      </c>
      <c r="C10" s="21" t="n">
        <v>1892</v>
      </c>
      <c r="D10" s="10" t="n">
        <v>4449614433</v>
      </c>
      <c r="E10" s="13" t="n">
        <v>2351805</v>
      </c>
      <c r="F10" s="22" t="n">
        <v>0.4</v>
      </c>
      <c r="G10" s="22" t="n">
        <v>0.307</v>
      </c>
    </row>
    <row r="11">
      <c r="B11" s="15" t="inlineStr">
        <is>
          <t>Dez/24</t>
        </is>
      </c>
      <c r="C11" s="21" t="n">
        <v>2753</v>
      </c>
      <c r="D11" s="10" t="n">
        <v>5925842704</v>
      </c>
      <c r="E11" s="13" t="n">
        <v>2152504</v>
      </c>
      <c r="F11" s="22" t="n">
        <v>0.332</v>
      </c>
      <c r="G11" s="22" t="n">
        <v>0.455</v>
      </c>
    </row>
    <row r="12">
      <c r="B12" s="15" t="inlineStr">
        <is>
          <t>Jun/25</t>
        </is>
      </c>
      <c r="C12" s="21" t="n">
        <v>3135</v>
      </c>
      <c r="D12" s="10" t="n">
        <v>7181128593</v>
      </c>
      <c r="E12" s="13" t="n">
        <v>2290631</v>
      </c>
      <c r="F12" s="22" t="n">
        <v>0.212</v>
      </c>
      <c r="G12" s="22" t="n">
        <v>0.139</v>
      </c>
    </row>
    <row r="13">
      <c r="B13" s="15" t="inlineStr">
        <is>
          <t>Dez/25</t>
        </is>
      </c>
      <c r="C13" s="21" t="n">
        <v>4426</v>
      </c>
      <c r="D13" s="10" t="n">
        <v>9994583842</v>
      </c>
      <c r="E13" s="13" t="n">
        <v>2258153</v>
      </c>
      <c r="F13" s="22" t="n">
        <v>0.392</v>
      </c>
      <c r="G13" s="22" t="n">
        <v>0.412</v>
      </c>
    </row>
  </sheetData>
  <mergeCells count="1">
    <mergeCell ref="B2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AE60"/>
    <outlinePr summaryBelow="1" summaryRight="1"/>
    <pageSetUpPr/>
  </sheetPr>
  <dimension ref="B2:H33"/>
  <sheetViews>
    <sheetView workbookViewId="0">
      <selection activeCell="A1" sqref="A1"/>
    </sheetView>
  </sheetViews>
  <sheetFormatPr baseColWidth="8" defaultRowHeight="15"/>
  <cols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5" customWidth="1" min="7" max="7"/>
  </cols>
  <sheetData>
    <row r="2">
      <c r="B2" s="20" t="inlineStr">
        <is>
          <t>Breakdown B2C vs B2B - Acompanhamento 2026</t>
        </is>
      </c>
    </row>
    <row r="4">
      <c r="B4" s="23" t="inlineStr">
        <is>
          <t>B2C</t>
        </is>
      </c>
      <c r="C4" s="24" t="n"/>
      <c r="D4" s="24" t="n"/>
      <c r="E4" s="24" t="n"/>
      <c r="F4" s="24" t="n"/>
      <c r="G4" s="24" t="n"/>
      <c r="H4" s="24" t="n"/>
    </row>
    <row r="5">
      <c r="B5" s="3" t="inlineStr">
        <is>
          <t>Mes</t>
        </is>
      </c>
      <c r="C5" s="3" t="inlineStr">
        <is>
          <t>AuC Real</t>
        </is>
      </c>
      <c r="D5" s="3" t="inlineStr">
        <is>
          <t>Clientes</t>
        </is>
      </c>
      <c r="E5" s="3" t="inlineStr">
        <is>
          <t>Ticket Medio</t>
        </is>
      </c>
      <c r="F5" s="3" t="inlineStr">
        <is>
          <t>Captacao Liquida</t>
        </is>
      </c>
      <c r="G5" s="3" t="inlineStr">
        <is>
          <t>Obs</t>
        </is>
      </c>
    </row>
    <row r="6">
      <c r="B6" s="15" t="inlineStr">
        <is>
          <t>Jan/26</t>
        </is>
      </c>
      <c r="C6" s="25" t="n"/>
      <c r="D6" s="25" t="n"/>
      <c r="E6" s="25" t="n"/>
      <c r="F6" s="25" t="n"/>
      <c r="G6" s="25" t="n"/>
    </row>
    <row r="7">
      <c r="B7" s="15" t="inlineStr">
        <is>
          <t>Fev/26</t>
        </is>
      </c>
      <c r="C7" s="25" t="n"/>
      <c r="D7" s="25" t="n"/>
      <c r="E7" s="25" t="n"/>
      <c r="F7" s="25" t="n"/>
      <c r="G7" s="25" t="n"/>
    </row>
    <row r="8">
      <c r="B8" s="15" t="inlineStr">
        <is>
          <t>Mar/26</t>
        </is>
      </c>
      <c r="C8" s="25" t="n"/>
      <c r="D8" s="25" t="n"/>
      <c r="E8" s="25" t="n"/>
      <c r="F8" s="25" t="n"/>
      <c r="G8" s="25" t="n"/>
    </row>
    <row r="9">
      <c r="B9" s="15" t="inlineStr">
        <is>
          <t>Abr/26</t>
        </is>
      </c>
      <c r="C9" s="25" t="n"/>
      <c r="D9" s="25" t="n"/>
      <c r="E9" s="25" t="n"/>
      <c r="F9" s="25" t="n"/>
      <c r="G9" s="25" t="n"/>
    </row>
    <row r="10">
      <c r="B10" s="15" t="inlineStr">
        <is>
          <t>Mai/26</t>
        </is>
      </c>
      <c r="C10" s="25" t="n"/>
      <c r="D10" s="25" t="n"/>
      <c r="E10" s="25" t="n"/>
      <c r="F10" s="25" t="n"/>
      <c r="G10" s="25" t="n"/>
    </row>
    <row r="11">
      <c r="B11" s="15" t="inlineStr">
        <is>
          <t>Jun/26</t>
        </is>
      </c>
      <c r="C11" s="25" t="n"/>
      <c r="D11" s="25" t="n"/>
      <c r="E11" s="25" t="n"/>
      <c r="F11" s="25" t="n"/>
      <c r="G11" s="25" t="n"/>
    </row>
    <row r="12">
      <c r="B12" s="15" t="inlineStr">
        <is>
          <t>Jul/26</t>
        </is>
      </c>
      <c r="C12" s="25" t="n"/>
      <c r="D12" s="25" t="n"/>
      <c r="E12" s="25" t="n"/>
      <c r="F12" s="25" t="n"/>
      <c r="G12" s="25" t="n"/>
    </row>
    <row r="13">
      <c r="B13" s="15" t="inlineStr">
        <is>
          <t>Ago/26</t>
        </is>
      </c>
      <c r="C13" s="25" t="n"/>
      <c r="D13" s="25" t="n"/>
      <c r="E13" s="25" t="n"/>
      <c r="F13" s="25" t="n"/>
      <c r="G13" s="25" t="n"/>
    </row>
    <row r="14">
      <c r="B14" s="15" t="inlineStr">
        <is>
          <t>Set/26</t>
        </is>
      </c>
      <c r="C14" s="25" t="n"/>
      <c r="D14" s="25" t="n"/>
      <c r="E14" s="25" t="n"/>
      <c r="F14" s="25" t="n"/>
      <c r="G14" s="25" t="n"/>
    </row>
    <row r="15">
      <c r="B15" s="15" t="inlineStr">
        <is>
          <t>Out/26</t>
        </is>
      </c>
      <c r="C15" s="25" t="n"/>
      <c r="D15" s="25" t="n"/>
      <c r="E15" s="25" t="n"/>
      <c r="F15" s="25" t="n"/>
      <c r="G15" s="25" t="n"/>
    </row>
    <row r="16">
      <c r="B16" s="15" t="inlineStr">
        <is>
          <t>Nov/26</t>
        </is>
      </c>
      <c r="C16" s="25" t="n"/>
      <c r="D16" s="25" t="n"/>
      <c r="E16" s="25" t="n"/>
      <c r="F16" s="25" t="n"/>
      <c r="G16" s="25" t="n"/>
    </row>
    <row r="17">
      <c r="B17" s="15" t="inlineStr">
        <is>
          <t>Dez/26</t>
        </is>
      </c>
      <c r="C17" s="25" t="n"/>
      <c r="D17" s="25" t="n"/>
      <c r="E17" s="25" t="n"/>
      <c r="F17" s="25" t="n"/>
      <c r="G17" s="25" t="n"/>
    </row>
    <row r="20">
      <c r="B20" s="26" t="inlineStr">
        <is>
          <t>B2B</t>
        </is>
      </c>
      <c r="C20" s="27" t="n"/>
      <c r="D20" s="27" t="n"/>
      <c r="E20" s="27" t="n"/>
      <c r="F20" s="27" t="n"/>
      <c r="G20" s="27" t="n"/>
      <c r="H20" s="27" t="n"/>
    </row>
    <row r="21">
      <c r="B21" s="3" t="inlineStr">
        <is>
          <t>Mes</t>
        </is>
      </c>
      <c r="C21" s="3" t="inlineStr">
        <is>
          <t>AuC Real</t>
        </is>
      </c>
      <c r="D21" s="3" t="inlineStr">
        <is>
          <t>Clientes</t>
        </is>
      </c>
      <c r="E21" s="3" t="inlineStr">
        <is>
          <t>Ticket Medio</t>
        </is>
      </c>
      <c r="F21" s="3" t="inlineStr">
        <is>
          <t>Captacao Liquida</t>
        </is>
      </c>
      <c r="G21" s="3" t="inlineStr">
        <is>
          <t>Obs</t>
        </is>
      </c>
    </row>
    <row r="22">
      <c r="B22" s="15" t="inlineStr">
        <is>
          <t>Jan/26</t>
        </is>
      </c>
      <c r="C22" s="25" t="n"/>
      <c r="D22" s="25" t="n"/>
      <c r="E22" s="25" t="n"/>
      <c r="F22" s="25" t="n"/>
      <c r="G22" s="25" t="n"/>
    </row>
    <row r="23">
      <c r="B23" s="15" t="inlineStr">
        <is>
          <t>Fev/26</t>
        </is>
      </c>
      <c r="C23" s="25" t="n"/>
      <c r="D23" s="25" t="n"/>
      <c r="E23" s="25" t="n"/>
      <c r="F23" s="25" t="n"/>
      <c r="G23" s="25" t="n"/>
    </row>
    <row r="24">
      <c r="B24" s="15" t="inlineStr">
        <is>
          <t>Mar/26</t>
        </is>
      </c>
      <c r="C24" s="25" t="n"/>
      <c r="D24" s="25" t="n"/>
      <c r="E24" s="25" t="n"/>
      <c r="F24" s="25" t="n"/>
      <c r="G24" s="25" t="n"/>
    </row>
    <row r="25">
      <c r="B25" s="15" t="inlineStr">
        <is>
          <t>Abr/26</t>
        </is>
      </c>
      <c r="C25" s="25" t="n"/>
      <c r="D25" s="25" t="n"/>
      <c r="E25" s="25" t="n"/>
      <c r="F25" s="25" t="n"/>
      <c r="G25" s="25" t="n"/>
    </row>
    <row r="26">
      <c r="B26" s="15" t="inlineStr">
        <is>
          <t>Mai/26</t>
        </is>
      </c>
      <c r="C26" s="25" t="n"/>
      <c r="D26" s="25" t="n"/>
      <c r="E26" s="25" t="n"/>
      <c r="F26" s="25" t="n"/>
      <c r="G26" s="25" t="n"/>
    </row>
    <row r="27">
      <c r="B27" s="15" t="inlineStr">
        <is>
          <t>Jun/26</t>
        </is>
      </c>
      <c r="C27" s="25" t="n"/>
      <c r="D27" s="25" t="n"/>
      <c r="E27" s="25" t="n"/>
      <c r="F27" s="25" t="n"/>
      <c r="G27" s="25" t="n"/>
    </row>
    <row r="28">
      <c r="B28" s="15" t="inlineStr">
        <is>
          <t>Jul/26</t>
        </is>
      </c>
      <c r="C28" s="25" t="n"/>
      <c r="D28" s="25" t="n"/>
      <c r="E28" s="25" t="n"/>
      <c r="F28" s="25" t="n"/>
      <c r="G28" s="25" t="n"/>
    </row>
    <row r="29">
      <c r="B29" s="15" t="inlineStr">
        <is>
          <t>Ago/26</t>
        </is>
      </c>
      <c r="C29" s="25" t="n"/>
      <c r="D29" s="25" t="n"/>
      <c r="E29" s="25" t="n"/>
      <c r="F29" s="25" t="n"/>
      <c r="G29" s="25" t="n"/>
    </row>
    <row r="30">
      <c r="B30" s="15" t="inlineStr">
        <is>
          <t>Set/26</t>
        </is>
      </c>
      <c r="C30" s="25" t="n"/>
      <c r="D30" s="25" t="n"/>
      <c r="E30" s="25" t="n"/>
      <c r="F30" s="25" t="n"/>
      <c r="G30" s="25" t="n"/>
    </row>
    <row r="31">
      <c r="B31" s="15" t="inlineStr">
        <is>
          <t>Out/26</t>
        </is>
      </c>
      <c r="C31" s="25" t="n"/>
      <c r="D31" s="25" t="n"/>
      <c r="E31" s="25" t="n"/>
      <c r="F31" s="25" t="n"/>
      <c r="G31" s="25" t="n"/>
    </row>
    <row r="32">
      <c r="B32" s="15" t="inlineStr">
        <is>
          <t>Nov/26</t>
        </is>
      </c>
      <c r="C32" s="25" t="n"/>
      <c r="D32" s="25" t="n"/>
      <c r="E32" s="25" t="n"/>
      <c r="F32" s="25" t="n"/>
      <c r="G32" s="25" t="n"/>
    </row>
    <row r="33">
      <c r="B33" s="15" t="inlineStr">
        <is>
          <t>Dez/26</t>
        </is>
      </c>
      <c r="C33" s="25" t="n"/>
      <c r="D33" s="25" t="n"/>
      <c r="E33" s="25" t="n"/>
      <c r="F33" s="25" t="n"/>
      <c r="G33" s="25" t="n"/>
    </row>
  </sheetData>
  <mergeCells count="3">
    <mergeCell ref="B20:H20"/>
    <mergeCell ref="B4:H4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E44AD"/>
    <outlinePr summaryBelow="1" summaryRight="1"/>
    <pageSetUpPr/>
  </sheetPr>
  <dimension ref="B2:H17"/>
  <sheetViews>
    <sheetView workbookViewId="0">
      <selection activeCell="A1" sqref="A1"/>
    </sheetView>
  </sheetViews>
  <sheetFormatPr baseColWidth="8" defaultRowHeight="15"/>
  <cols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2">
      <c r="B2" s="20" t="inlineStr">
        <is>
          <t>Projecao 2027 - Meta R$ 22 bi</t>
        </is>
      </c>
    </row>
    <row r="3">
      <c r="B3" s="28" t="inlineStr">
        <is>
          <t>A ser preenchido apos fechamento de 2026</t>
        </is>
      </c>
    </row>
    <row r="5">
      <c r="B5" s="3" t="inlineStr">
        <is>
          <t>Mes</t>
        </is>
      </c>
      <c r="C5" s="3" t="inlineStr">
        <is>
          <t>Meta AuC (R$)</t>
        </is>
      </c>
      <c r="D5" s="3" t="inlineStr">
        <is>
          <t>AuC Real (R$)</t>
        </is>
      </c>
      <c r="E5" s="3" t="inlineStr">
        <is>
          <t>Atingimento</t>
        </is>
      </c>
      <c r="F5" s="3" t="inlineStr">
        <is>
          <t>Captacao Liquida</t>
        </is>
      </c>
      <c r="G5" s="3" t="inlineStr">
        <is>
          <t>Clientes</t>
        </is>
      </c>
      <c r="H5" s="3" t="inlineStr">
        <is>
          <t>Ticket Medio</t>
        </is>
      </c>
    </row>
    <row r="6">
      <c r="B6" s="15" t="inlineStr">
        <is>
          <t>Jan/27</t>
        </is>
      </c>
      <c r="C6" s="10" t="n">
        <v>16500000000</v>
      </c>
      <c r="D6" s="25" t="n"/>
      <c r="E6" s="25" t="n"/>
      <c r="F6" s="25" t="n"/>
      <c r="G6" s="25" t="n"/>
      <c r="H6" s="25" t="n"/>
    </row>
    <row r="7">
      <c r="B7" s="15" t="inlineStr">
        <is>
          <t>Fev/27</t>
        </is>
      </c>
      <c r="C7" s="10" t="n">
        <v>17000000000</v>
      </c>
      <c r="D7" s="25" t="n"/>
      <c r="E7" s="25" t="n"/>
      <c r="F7" s="25" t="n"/>
      <c r="G7" s="25" t="n"/>
      <c r="H7" s="25" t="n"/>
    </row>
    <row r="8">
      <c r="B8" s="15" t="inlineStr">
        <is>
          <t>Mar/27</t>
        </is>
      </c>
      <c r="C8" s="10" t="n">
        <v>17500000000</v>
      </c>
      <c r="D8" s="25" t="n"/>
      <c r="E8" s="25" t="n"/>
      <c r="F8" s="25" t="n"/>
      <c r="G8" s="25" t="n"/>
      <c r="H8" s="25" t="n"/>
    </row>
    <row r="9">
      <c r="B9" s="15" t="inlineStr">
        <is>
          <t>Abr/27</t>
        </is>
      </c>
      <c r="C9" s="10" t="n">
        <v>18000000000</v>
      </c>
      <c r="D9" s="25" t="n"/>
      <c r="E9" s="25" t="n"/>
      <c r="F9" s="25" t="n"/>
      <c r="G9" s="25" t="n"/>
      <c r="H9" s="25" t="n"/>
    </row>
    <row r="10">
      <c r="B10" s="15" t="inlineStr">
        <is>
          <t>Mai/27</t>
        </is>
      </c>
      <c r="C10" s="10" t="n">
        <v>18500000000</v>
      </c>
      <c r="D10" s="25" t="n"/>
      <c r="E10" s="25" t="n"/>
      <c r="F10" s="25" t="n"/>
      <c r="G10" s="25" t="n"/>
      <c r="H10" s="25" t="n"/>
    </row>
    <row r="11">
      <c r="B11" s="15" t="inlineStr">
        <is>
          <t>Jun/27</t>
        </is>
      </c>
      <c r="C11" s="10" t="n">
        <v>19000000000</v>
      </c>
      <c r="D11" s="25" t="n"/>
      <c r="E11" s="25" t="n"/>
      <c r="F11" s="25" t="n"/>
      <c r="G11" s="25" t="n"/>
      <c r="H11" s="25" t="n"/>
    </row>
    <row r="12">
      <c r="B12" s="15" t="inlineStr">
        <is>
          <t>Jul/27</t>
        </is>
      </c>
      <c r="C12" s="10" t="n">
        <v>19500000000</v>
      </c>
      <c r="D12" s="25" t="n"/>
      <c r="E12" s="25" t="n"/>
      <c r="F12" s="25" t="n"/>
      <c r="G12" s="25" t="n"/>
      <c r="H12" s="25" t="n"/>
    </row>
    <row r="13">
      <c r="B13" s="15" t="inlineStr">
        <is>
          <t>Ago/27</t>
        </is>
      </c>
      <c r="C13" s="10" t="n">
        <v>20000000000</v>
      </c>
      <c r="D13" s="25" t="n"/>
      <c r="E13" s="25" t="n"/>
      <c r="F13" s="25" t="n"/>
      <c r="G13" s="25" t="n"/>
      <c r="H13" s="25" t="n"/>
    </row>
    <row r="14">
      <c r="B14" s="15" t="inlineStr">
        <is>
          <t>Set/27</t>
        </is>
      </c>
      <c r="C14" s="10" t="n">
        <v>20500000000</v>
      </c>
      <c r="D14" s="25" t="n"/>
      <c r="E14" s="25" t="n"/>
      <c r="F14" s="25" t="n"/>
      <c r="G14" s="25" t="n"/>
      <c r="H14" s="25" t="n"/>
    </row>
    <row r="15">
      <c r="B15" s="15" t="inlineStr">
        <is>
          <t>Out/27</t>
        </is>
      </c>
      <c r="C15" s="10" t="n">
        <v>21000000000</v>
      </c>
      <c r="D15" s="25" t="n"/>
      <c r="E15" s="25" t="n"/>
      <c r="F15" s="25" t="n"/>
      <c r="G15" s="25" t="n"/>
      <c r="H15" s="25" t="n"/>
    </row>
    <row r="16">
      <c r="B16" s="15" t="inlineStr">
        <is>
          <t>Nov/27</t>
        </is>
      </c>
      <c r="C16" s="10" t="n">
        <v>21500000000</v>
      </c>
      <c r="D16" s="25" t="n"/>
      <c r="E16" s="25" t="n"/>
      <c r="F16" s="25" t="n"/>
      <c r="G16" s="25" t="n"/>
      <c r="H16" s="25" t="n"/>
    </row>
    <row r="17">
      <c r="B17" s="15" t="inlineStr">
        <is>
          <t>Dez/27</t>
        </is>
      </c>
      <c r="C17" s="10" t="n">
        <v>22000000000</v>
      </c>
      <c r="D17" s="25" t="n"/>
      <c r="E17" s="25" t="n"/>
      <c r="F17" s="25" t="n"/>
      <c r="G17" s="25" t="n"/>
      <c r="H17" s="25" t="n"/>
    </row>
  </sheetData>
  <mergeCells count="2">
    <mergeCell ref="B3:H3"/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2026-03-24T17:19:50Z</dcterms:created>
  <dcterms:modified xmlns:dcterms="http://purl.org/dc/terms/" xmlns:xsi="http://www.w3.org/2001/XMLSchema-instance" xsi:type="dcterms:W3CDTF">2026-03-24T17:19:50Z</dcterms:modified>
</cp:coreProperties>
</file>