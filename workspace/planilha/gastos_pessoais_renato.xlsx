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taú CC" sheetId="2" state="visible" r:id="rId2"/>
    <sheet name="Itaú Cartão" sheetId="3" state="visible" r:id="rId3"/>
    <sheet name="BTG Cartão" sheetId="4" state="visible" r:id="rId4"/>
  </sheets>
  <definedNames>
    <definedName name="_xlnm._FilterDatabase" localSheetId="1" hidden="1">'Itaú CC'!$A$1:$G$357</definedName>
    <definedName name="_xlnm._FilterDatabase" localSheetId="2" hidden="1">'Itaú Cartão'!$A$1:$G$1</definedName>
    <definedName name="_xlnm._FilterDatabase" localSheetId="3" hidden="1">'BTG Cartão'!$A$1:$G$1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1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FFFFFF"/>
      <sz val="11"/>
    </font>
    <font>
      <b val="1"/>
      <sz val="10"/>
    </font>
    <font>
      <b val="1"/>
    </font>
    <font>
      <b val="1"/>
      <color rgb="FFCC0000"/>
      <sz val="10"/>
    </font>
    <font>
      <b val="1"/>
      <color rgb="FFCC0000"/>
    </font>
    <font>
      <b val="1"/>
      <color rgb="FF1B5E20"/>
      <sz val="10"/>
    </font>
    <font>
      <b val="1"/>
      <color rgb="FF1B5E20"/>
    </font>
    <font>
      <b val="1"/>
      <color rgb="FFFFFFFF"/>
      <sz val="10"/>
    </font>
    <font>
      <i val="1"/>
      <color rgb="FF888888"/>
    </font>
  </fonts>
  <fills count="11">
    <fill>
      <patternFill/>
    </fill>
    <fill>
      <patternFill patternType="gray125"/>
    </fill>
    <fill>
      <patternFill patternType="solid">
        <fgColor rgb="FF1A237E"/>
      </patternFill>
    </fill>
    <fill>
      <patternFill patternType="solid">
        <fgColor rgb="FF2D3748"/>
      </patternFill>
    </fill>
    <fill>
      <patternFill patternType="solid">
        <fgColor rgb="FFE8EAF6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FCDD2"/>
      </patternFill>
    </fill>
    <fill>
      <patternFill patternType="solid">
        <fgColor rgb="FFD9EAD3"/>
      </patternFill>
    </fill>
    <fill>
      <patternFill patternType="solid">
        <fgColor rgb="FFB7E1CD"/>
      </patternFill>
    </fill>
    <fill>
      <patternFill patternType="solid">
        <fgColor rgb="FFFCE5C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indent="1"/>
    </xf>
    <xf numFmtId="0" fontId="3" fillId="4" borderId="0" applyAlignment="1" pivotButton="0" quotePrefix="0" xfId="0">
      <alignment horizontal="center"/>
    </xf>
    <xf numFmtId="0" fontId="0" fillId="5" borderId="1" applyAlignment="1" pivotButton="0" quotePrefix="0" xfId="0">
      <alignment horizontal="left" indent="1"/>
    </xf>
    <xf numFmtId="164" fontId="0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left" indent="1"/>
    </xf>
    <xf numFmtId="164" fontId="0" fillId="6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0" fontId="5" fillId="7" borderId="1" applyAlignment="1" pivotButton="0" quotePrefix="0" xfId="0">
      <alignment horizontal="left" indent="1"/>
    </xf>
    <xf numFmtId="164" fontId="6" fillId="7" borderId="1" applyAlignment="1" pivotButton="0" quotePrefix="0" xfId="0">
      <alignment horizontal="right"/>
    </xf>
    <xf numFmtId="0" fontId="7" fillId="8" borderId="1" applyAlignment="1" pivotButton="0" quotePrefix="0" xfId="0">
      <alignment horizontal="left" indent="1"/>
    </xf>
    <xf numFmtId="164" fontId="8" fillId="8" borderId="1" applyAlignment="1" pivotButton="0" quotePrefix="0" xfId="0">
      <alignment horizontal="right"/>
    </xf>
    <xf numFmtId="0" fontId="2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indent="1"/>
    </xf>
    <xf numFmtId="164" fontId="4" fillId="9" borderId="1" applyAlignment="1" pivotButton="0" quotePrefix="0" xfId="0">
      <alignment horizontal="right"/>
    </xf>
    <xf numFmtId="0" fontId="9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164" fontId="0" fillId="8" borderId="1" applyAlignment="1" pivotButton="0" quotePrefix="0" xfId="0">
      <alignment horizontal="right" vertical="center"/>
    </xf>
    <xf numFmtId="0" fontId="0" fillId="10" borderId="1" applyAlignment="1" pivotButton="0" quotePrefix="0" xfId="0">
      <alignment vertical="center"/>
    </xf>
    <xf numFmtId="164" fontId="0" fillId="10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30" customHeight="1">
      <c r="A1" s="1" t="inlineStr">
        <is>
          <t>GASTOS PESSOAIS — RENATO BREIA</t>
        </is>
      </c>
    </row>
    <row r="3" ht="22" customHeight="1">
      <c r="A3" s="2" t="inlineStr">
        <is>
          <t>▼  SAÍDAS POR CATEGORIA</t>
        </is>
      </c>
    </row>
    <row r="4" ht="18" customHeight="1">
      <c r="A4" s="3" t="inlineStr">
        <is>
          <t>Categoria</t>
        </is>
      </c>
      <c r="B4" s="4" t="inlineStr">
        <is>
          <t>2025-07</t>
        </is>
      </c>
      <c r="C4" s="4" t="inlineStr">
        <is>
          <t>2025-08</t>
        </is>
      </c>
      <c r="D4" s="4" t="inlineStr">
        <is>
          <t>2025-09</t>
        </is>
      </c>
      <c r="E4" s="4" t="inlineStr">
        <is>
          <t>2025-10</t>
        </is>
      </c>
      <c r="F4" s="4" t="inlineStr">
        <is>
          <t>2025-11</t>
        </is>
      </c>
      <c r="G4" s="4" t="inlineStr">
        <is>
          <t>2025-12</t>
        </is>
      </c>
      <c r="H4" s="4" t="inlineStr">
        <is>
          <t>2026-01</t>
        </is>
      </c>
      <c r="I4" s="4" t="inlineStr">
        <is>
          <t>2026-02</t>
        </is>
      </c>
      <c r="J4" s="4" t="inlineStr">
        <is>
          <t>2026-03</t>
        </is>
      </c>
      <c r="K4" s="4" t="inlineStr">
        <is>
          <t>Total</t>
        </is>
      </c>
    </row>
    <row r="5" ht="16" customHeight="1">
      <c r="A5" s="5" t="inlineStr">
        <is>
          <t>Alimentação</t>
        </is>
      </c>
      <c r="B5" s="6">
        <f>IFERROR(-(SUMIFS('Itaú CC'!$C:$C,'Itaú CC'!$E:$E,$A5,'Itaú CC'!$F:$F,B$4,'Itaú CC'!$D:$D,"saída")+SUMIFS('Itaú Cartão'!$C:$C,'Itaú Cartão'!$E:$E,$A5,'Itaú Cartão'!$F:$F,B$4,'Itaú Cartão'!$D:$D,"saída")+SUMIFS('BTG Cartão'!$C:$C,'BTG Cartão'!$E:$E,$A5,'BTG Cartão'!$F:$F,B$4,'BTG Cartão'!$D:$D,"saída")),0)</f>
        <v/>
      </c>
      <c r="C5" s="6">
        <f>IFERROR(-(SUMIFS('Itaú CC'!$C:$C,'Itaú CC'!$E:$E,$A5,'Itaú CC'!$F:$F,C$4,'Itaú CC'!$D:$D,"saída")+SUMIFS('Itaú Cartão'!$C:$C,'Itaú Cartão'!$E:$E,$A5,'Itaú Cartão'!$F:$F,C$4,'Itaú Cartão'!$D:$D,"saída")+SUMIFS('BTG Cartão'!$C:$C,'BTG Cartão'!$E:$E,$A5,'BTG Cartão'!$F:$F,C$4,'BTG Cartão'!$D:$D,"saída")),0)</f>
        <v/>
      </c>
      <c r="D5" s="6">
        <f>IFERROR(-(SUMIFS('Itaú CC'!$C:$C,'Itaú CC'!$E:$E,$A5,'Itaú CC'!$F:$F,D$4,'Itaú CC'!$D:$D,"saída")+SUMIFS('Itaú Cartão'!$C:$C,'Itaú Cartão'!$E:$E,$A5,'Itaú Cartão'!$F:$F,D$4,'Itaú Cartão'!$D:$D,"saída")+SUMIFS('BTG Cartão'!$C:$C,'BTG Cartão'!$E:$E,$A5,'BTG Cartão'!$F:$F,D$4,'BTG Cartão'!$D:$D,"saída")),0)</f>
        <v/>
      </c>
      <c r="E5" s="6">
        <f>IFERROR(-(SUMIFS('Itaú CC'!$C:$C,'Itaú CC'!$E:$E,$A5,'Itaú CC'!$F:$F,E$4,'Itaú CC'!$D:$D,"saída")+SUMIFS('Itaú Cartão'!$C:$C,'Itaú Cartão'!$E:$E,$A5,'Itaú Cartão'!$F:$F,E$4,'Itaú Cartão'!$D:$D,"saída")+SUMIFS('BTG Cartão'!$C:$C,'BTG Cartão'!$E:$E,$A5,'BTG Cartão'!$F:$F,E$4,'BTG Cartão'!$D:$D,"saída")),0)</f>
        <v/>
      </c>
      <c r="F5" s="6">
        <f>IFERROR(-(SUMIFS('Itaú CC'!$C:$C,'Itaú CC'!$E:$E,$A5,'Itaú CC'!$F:$F,F$4,'Itaú CC'!$D:$D,"saída")+SUMIFS('Itaú Cartão'!$C:$C,'Itaú Cartão'!$E:$E,$A5,'Itaú Cartão'!$F:$F,F$4,'Itaú Cartão'!$D:$D,"saída")+SUMIFS('BTG Cartão'!$C:$C,'BTG Cartão'!$E:$E,$A5,'BTG Cartão'!$F:$F,F$4,'BTG Cartão'!$D:$D,"saída")),0)</f>
        <v/>
      </c>
      <c r="G5" s="6">
        <f>IFERROR(-(SUMIFS('Itaú CC'!$C:$C,'Itaú CC'!$E:$E,$A5,'Itaú CC'!$F:$F,G$4,'Itaú CC'!$D:$D,"saída")+SUMIFS('Itaú Cartão'!$C:$C,'Itaú Cartão'!$E:$E,$A5,'Itaú Cartão'!$F:$F,G$4,'Itaú Cartão'!$D:$D,"saída")+SUMIFS('BTG Cartão'!$C:$C,'BTG Cartão'!$E:$E,$A5,'BTG Cartão'!$F:$F,G$4,'BTG Cartão'!$D:$D,"saída")),0)</f>
        <v/>
      </c>
      <c r="H5" s="6">
        <f>IFERROR(-(SUMIFS('Itaú CC'!$C:$C,'Itaú CC'!$E:$E,$A5,'Itaú CC'!$F:$F,H$4,'Itaú CC'!$D:$D,"saída")+SUMIFS('Itaú Cartão'!$C:$C,'Itaú Cartão'!$E:$E,$A5,'Itaú Cartão'!$F:$F,H$4,'Itaú Cartão'!$D:$D,"saída")+SUMIFS('BTG Cartão'!$C:$C,'BTG Cartão'!$E:$E,$A5,'BTG Cartão'!$F:$F,H$4,'BTG Cartão'!$D:$D,"saída")),0)</f>
        <v/>
      </c>
      <c r="I5" s="6">
        <f>IFERROR(-(SUMIFS('Itaú CC'!$C:$C,'Itaú CC'!$E:$E,$A5,'Itaú CC'!$F:$F,I$4,'Itaú CC'!$D:$D,"saída")+SUMIFS('Itaú Cartão'!$C:$C,'Itaú Cartão'!$E:$E,$A5,'Itaú Cartão'!$F:$F,I$4,'Itaú Cartão'!$D:$D,"saída")+SUMIFS('BTG Cartão'!$C:$C,'BTG Cartão'!$E:$E,$A5,'BTG Cartão'!$F:$F,I$4,'BTG Cartão'!$D:$D,"saída")),0)</f>
        <v/>
      </c>
      <c r="J5" s="6">
        <f>IFERROR(-(SUMIFS('Itaú CC'!$C:$C,'Itaú CC'!$E:$E,$A5,'Itaú CC'!$F:$F,J$4,'Itaú CC'!$D:$D,"saída")+SUMIFS('Itaú Cartão'!$C:$C,'Itaú Cartão'!$E:$E,$A5,'Itaú Cartão'!$F:$F,J$4,'Itaú Cartão'!$D:$D,"saída")+SUMIFS('BTG Cartão'!$C:$C,'BTG Cartão'!$E:$E,$A5,'BTG Cartão'!$F:$F,J$4,'BTG Cartão'!$D:$D,"saída")),0)</f>
        <v/>
      </c>
      <c r="K5" s="7">
        <f>SUM(B5:J5)</f>
        <v/>
      </c>
    </row>
    <row r="6" ht="16" customHeight="1">
      <c r="A6" s="8" t="inlineStr">
        <is>
          <t>Aluguel</t>
        </is>
      </c>
      <c r="B6" s="9">
        <f>IFERROR(-(SUMIFS('Itaú CC'!$C:$C,'Itaú CC'!$E:$E,$A6,'Itaú CC'!$F:$F,B$4,'Itaú CC'!$D:$D,"saída")+SUMIFS('Itaú Cartão'!$C:$C,'Itaú Cartão'!$E:$E,$A6,'Itaú Cartão'!$F:$F,B$4,'Itaú Cartão'!$D:$D,"saída")+SUMIFS('BTG Cartão'!$C:$C,'BTG Cartão'!$E:$E,$A6,'BTG Cartão'!$F:$F,B$4,'BTG Cartão'!$D:$D,"saída")),0)</f>
        <v/>
      </c>
      <c r="C6" s="9">
        <f>IFERROR(-(SUMIFS('Itaú CC'!$C:$C,'Itaú CC'!$E:$E,$A6,'Itaú CC'!$F:$F,C$4,'Itaú CC'!$D:$D,"saída")+SUMIFS('Itaú Cartão'!$C:$C,'Itaú Cartão'!$E:$E,$A6,'Itaú Cartão'!$F:$F,C$4,'Itaú Cartão'!$D:$D,"saída")+SUMIFS('BTG Cartão'!$C:$C,'BTG Cartão'!$E:$E,$A6,'BTG Cartão'!$F:$F,C$4,'BTG Cartão'!$D:$D,"saída")),0)</f>
        <v/>
      </c>
      <c r="D6" s="9">
        <f>IFERROR(-(SUMIFS('Itaú CC'!$C:$C,'Itaú CC'!$E:$E,$A6,'Itaú CC'!$F:$F,D$4,'Itaú CC'!$D:$D,"saída")+SUMIFS('Itaú Cartão'!$C:$C,'Itaú Cartão'!$E:$E,$A6,'Itaú Cartão'!$F:$F,D$4,'Itaú Cartão'!$D:$D,"saída")+SUMIFS('BTG Cartão'!$C:$C,'BTG Cartão'!$E:$E,$A6,'BTG Cartão'!$F:$F,D$4,'BTG Cartão'!$D:$D,"saída")),0)</f>
        <v/>
      </c>
      <c r="E6" s="9">
        <f>IFERROR(-(SUMIFS('Itaú CC'!$C:$C,'Itaú CC'!$E:$E,$A6,'Itaú CC'!$F:$F,E$4,'Itaú CC'!$D:$D,"saída")+SUMIFS('Itaú Cartão'!$C:$C,'Itaú Cartão'!$E:$E,$A6,'Itaú Cartão'!$F:$F,E$4,'Itaú Cartão'!$D:$D,"saída")+SUMIFS('BTG Cartão'!$C:$C,'BTG Cartão'!$E:$E,$A6,'BTG Cartão'!$F:$F,E$4,'BTG Cartão'!$D:$D,"saída")),0)</f>
        <v/>
      </c>
      <c r="F6" s="9">
        <f>IFERROR(-(SUMIFS('Itaú CC'!$C:$C,'Itaú CC'!$E:$E,$A6,'Itaú CC'!$F:$F,F$4,'Itaú CC'!$D:$D,"saída")+SUMIFS('Itaú Cartão'!$C:$C,'Itaú Cartão'!$E:$E,$A6,'Itaú Cartão'!$F:$F,F$4,'Itaú Cartão'!$D:$D,"saída")+SUMIFS('BTG Cartão'!$C:$C,'BTG Cartão'!$E:$E,$A6,'BTG Cartão'!$F:$F,F$4,'BTG Cartão'!$D:$D,"saída")),0)</f>
        <v/>
      </c>
      <c r="G6" s="9">
        <f>IFERROR(-(SUMIFS('Itaú CC'!$C:$C,'Itaú CC'!$E:$E,$A6,'Itaú CC'!$F:$F,G$4,'Itaú CC'!$D:$D,"saída")+SUMIFS('Itaú Cartão'!$C:$C,'Itaú Cartão'!$E:$E,$A6,'Itaú Cartão'!$F:$F,G$4,'Itaú Cartão'!$D:$D,"saída")+SUMIFS('BTG Cartão'!$C:$C,'BTG Cartão'!$E:$E,$A6,'BTG Cartão'!$F:$F,G$4,'BTG Cartão'!$D:$D,"saída")),0)</f>
        <v/>
      </c>
      <c r="H6" s="9">
        <f>IFERROR(-(SUMIFS('Itaú CC'!$C:$C,'Itaú CC'!$E:$E,$A6,'Itaú CC'!$F:$F,H$4,'Itaú CC'!$D:$D,"saída")+SUMIFS('Itaú Cartão'!$C:$C,'Itaú Cartão'!$E:$E,$A6,'Itaú Cartão'!$F:$F,H$4,'Itaú Cartão'!$D:$D,"saída")+SUMIFS('BTG Cartão'!$C:$C,'BTG Cartão'!$E:$E,$A6,'BTG Cartão'!$F:$F,H$4,'BTG Cartão'!$D:$D,"saída")),0)</f>
        <v/>
      </c>
      <c r="I6" s="9">
        <f>IFERROR(-(SUMIFS('Itaú CC'!$C:$C,'Itaú CC'!$E:$E,$A6,'Itaú CC'!$F:$F,I$4,'Itaú CC'!$D:$D,"saída")+SUMIFS('Itaú Cartão'!$C:$C,'Itaú Cartão'!$E:$E,$A6,'Itaú Cartão'!$F:$F,I$4,'Itaú Cartão'!$D:$D,"saída")+SUMIFS('BTG Cartão'!$C:$C,'BTG Cartão'!$E:$E,$A6,'BTG Cartão'!$F:$F,I$4,'BTG Cartão'!$D:$D,"saída")),0)</f>
        <v/>
      </c>
      <c r="J6" s="9">
        <f>IFERROR(-(SUMIFS('Itaú CC'!$C:$C,'Itaú CC'!$E:$E,$A6,'Itaú CC'!$F:$F,J$4,'Itaú CC'!$D:$D,"saída")+SUMIFS('Itaú Cartão'!$C:$C,'Itaú Cartão'!$E:$E,$A6,'Itaú Cartão'!$F:$F,J$4,'Itaú Cartão'!$D:$D,"saída")+SUMIFS('BTG Cartão'!$C:$C,'BTG Cartão'!$E:$E,$A6,'BTG Cartão'!$F:$F,J$4,'BTG Cartão'!$D:$D,"saída")),0)</f>
        <v/>
      </c>
      <c r="K6" s="10">
        <f>SUM(B6:J6)</f>
        <v/>
      </c>
    </row>
    <row r="7" ht="16" customHeight="1">
      <c r="A7" s="5" t="inlineStr">
        <is>
          <t>Aplicação CDB</t>
        </is>
      </c>
      <c r="B7" s="6">
        <f>IFERROR(-(SUMIFS('Itaú CC'!$C:$C,'Itaú CC'!$E:$E,$A7,'Itaú CC'!$F:$F,B$4,'Itaú CC'!$D:$D,"saída")+SUMIFS('Itaú Cartão'!$C:$C,'Itaú Cartão'!$E:$E,$A7,'Itaú Cartão'!$F:$F,B$4,'Itaú Cartão'!$D:$D,"saída")+SUMIFS('BTG Cartão'!$C:$C,'BTG Cartão'!$E:$E,$A7,'BTG Cartão'!$F:$F,B$4,'BTG Cartão'!$D:$D,"saída")),0)</f>
        <v/>
      </c>
      <c r="C7" s="6">
        <f>IFERROR(-(SUMIFS('Itaú CC'!$C:$C,'Itaú CC'!$E:$E,$A7,'Itaú CC'!$F:$F,C$4,'Itaú CC'!$D:$D,"saída")+SUMIFS('Itaú Cartão'!$C:$C,'Itaú Cartão'!$E:$E,$A7,'Itaú Cartão'!$F:$F,C$4,'Itaú Cartão'!$D:$D,"saída")+SUMIFS('BTG Cartão'!$C:$C,'BTG Cartão'!$E:$E,$A7,'BTG Cartão'!$F:$F,C$4,'BTG Cartão'!$D:$D,"saída")),0)</f>
        <v/>
      </c>
      <c r="D7" s="6">
        <f>IFERROR(-(SUMIFS('Itaú CC'!$C:$C,'Itaú CC'!$E:$E,$A7,'Itaú CC'!$F:$F,D$4,'Itaú CC'!$D:$D,"saída")+SUMIFS('Itaú Cartão'!$C:$C,'Itaú Cartão'!$E:$E,$A7,'Itaú Cartão'!$F:$F,D$4,'Itaú Cartão'!$D:$D,"saída")+SUMIFS('BTG Cartão'!$C:$C,'BTG Cartão'!$E:$E,$A7,'BTG Cartão'!$F:$F,D$4,'BTG Cartão'!$D:$D,"saída")),0)</f>
        <v/>
      </c>
      <c r="E7" s="6">
        <f>IFERROR(-(SUMIFS('Itaú CC'!$C:$C,'Itaú CC'!$E:$E,$A7,'Itaú CC'!$F:$F,E$4,'Itaú CC'!$D:$D,"saída")+SUMIFS('Itaú Cartão'!$C:$C,'Itaú Cartão'!$E:$E,$A7,'Itaú Cartão'!$F:$F,E$4,'Itaú Cartão'!$D:$D,"saída")+SUMIFS('BTG Cartão'!$C:$C,'BTG Cartão'!$E:$E,$A7,'BTG Cartão'!$F:$F,E$4,'BTG Cartão'!$D:$D,"saída")),0)</f>
        <v/>
      </c>
      <c r="F7" s="6">
        <f>IFERROR(-(SUMIFS('Itaú CC'!$C:$C,'Itaú CC'!$E:$E,$A7,'Itaú CC'!$F:$F,F$4,'Itaú CC'!$D:$D,"saída")+SUMIFS('Itaú Cartão'!$C:$C,'Itaú Cartão'!$E:$E,$A7,'Itaú Cartão'!$F:$F,F$4,'Itaú Cartão'!$D:$D,"saída")+SUMIFS('BTG Cartão'!$C:$C,'BTG Cartão'!$E:$E,$A7,'BTG Cartão'!$F:$F,F$4,'BTG Cartão'!$D:$D,"saída")),0)</f>
        <v/>
      </c>
      <c r="G7" s="6">
        <f>IFERROR(-(SUMIFS('Itaú CC'!$C:$C,'Itaú CC'!$E:$E,$A7,'Itaú CC'!$F:$F,G$4,'Itaú CC'!$D:$D,"saída")+SUMIFS('Itaú Cartão'!$C:$C,'Itaú Cartão'!$E:$E,$A7,'Itaú Cartão'!$F:$F,G$4,'Itaú Cartão'!$D:$D,"saída")+SUMIFS('BTG Cartão'!$C:$C,'BTG Cartão'!$E:$E,$A7,'BTG Cartão'!$F:$F,G$4,'BTG Cartão'!$D:$D,"saída")),0)</f>
        <v/>
      </c>
      <c r="H7" s="6">
        <f>IFERROR(-(SUMIFS('Itaú CC'!$C:$C,'Itaú CC'!$E:$E,$A7,'Itaú CC'!$F:$F,H$4,'Itaú CC'!$D:$D,"saída")+SUMIFS('Itaú Cartão'!$C:$C,'Itaú Cartão'!$E:$E,$A7,'Itaú Cartão'!$F:$F,H$4,'Itaú Cartão'!$D:$D,"saída")+SUMIFS('BTG Cartão'!$C:$C,'BTG Cartão'!$E:$E,$A7,'BTG Cartão'!$F:$F,H$4,'BTG Cartão'!$D:$D,"saída")),0)</f>
        <v/>
      </c>
      <c r="I7" s="6">
        <f>IFERROR(-(SUMIFS('Itaú CC'!$C:$C,'Itaú CC'!$E:$E,$A7,'Itaú CC'!$F:$F,I$4,'Itaú CC'!$D:$D,"saída")+SUMIFS('Itaú Cartão'!$C:$C,'Itaú Cartão'!$E:$E,$A7,'Itaú Cartão'!$F:$F,I$4,'Itaú Cartão'!$D:$D,"saída")+SUMIFS('BTG Cartão'!$C:$C,'BTG Cartão'!$E:$E,$A7,'BTG Cartão'!$F:$F,I$4,'BTG Cartão'!$D:$D,"saída")),0)</f>
        <v/>
      </c>
      <c r="J7" s="6">
        <f>IFERROR(-(SUMIFS('Itaú CC'!$C:$C,'Itaú CC'!$E:$E,$A7,'Itaú CC'!$F:$F,J$4,'Itaú CC'!$D:$D,"saída")+SUMIFS('Itaú Cartão'!$C:$C,'Itaú Cartão'!$E:$E,$A7,'Itaú Cartão'!$F:$F,J$4,'Itaú Cartão'!$D:$D,"saída")+SUMIFS('BTG Cartão'!$C:$C,'BTG Cartão'!$E:$E,$A7,'BTG Cartão'!$F:$F,J$4,'BTG Cartão'!$D:$D,"saída")),0)</f>
        <v/>
      </c>
      <c r="K7" s="7">
        <f>SUM(B7:J7)</f>
        <v/>
      </c>
    </row>
    <row r="8" ht="16" customHeight="1">
      <c r="A8" s="8" t="inlineStr">
        <is>
          <t>Aplicação LCA</t>
        </is>
      </c>
      <c r="B8" s="9">
        <f>IFERROR(-(SUMIFS('Itaú CC'!$C:$C,'Itaú CC'!$E:$E,$A8,'Itaú CC'!$F:$F,B$4,'Itaú CC'!$D:$D,"saída")+SUMIFS('Itaú Cartão'!$C:$C,'Itaú Cartão'!$E:$E,$A8,'Itaú Cartão'!$F:$F,B$4,'Itaú Cartão'!$D:$D,"saída")+SUMIFS('BTG Cartão'!$C:$C,'BTG Cartão'!$E:$E,$A8,'BTG Cartão'!$F:$F,B$4,'BTG Cartão'!$D:$D,"saída")),0)</f>
        <v/>
      </c>
      <c r="C8" s="9">
        <f>IFERROR(-(SUMIFS('Itaú CC'!$C:$C,'Itaú CC'!$E:$E,$A8,'Itaú CC'!$F:$F,C$4,'Itaú CC'!$D:$D,"saída")+SUMIFS('Itaú Cartão'!$C:$C,'Itaú Cartão'!$E:$E,$A8,'Itaú Cartão'!$F:$F,C$4,'Itaú Cartão'!$D:$D,"saída")+SUMIFS('BTG Cartão'!$C:$C,'BTG Cartão'!$E:$E,$A8,'BTG Cartão'!$F:$F,C$4,'BTG Cartão'!$D:$D,"saída")),0)</f>
        <v/>
      </c>
      <c r="D8" s="9">
        <f>IFERROR(-(SUMIFS('Itaú CC'!$C:$C,'Itaú CC'!$E:$E,$A8,'Itaú CC'!$F:$F,D$4,'Itaú CC'!$D:$D,"saída")+SUMIFS('Itaú Cartão'!$C:$C,'Itaú Cartão'!$E:$E,$A8,'Itaú Cartão'!$F:$F,D$4,'Itaú Cartão'!$D:$D,"saída")+SUMIFS('BTG Cartão'!$C:$C,'BTG Cartão'!$E:$E,$A8,'BTG Cartão'!$F:$F,D$4,'BTG Cartão'!$D:$D,"saída")),0)</f>
        <v/>
      </c>
      <c r="E8" s="9">
        <f>IFERROR(-(SUMIFS('Itaú CC'!$C:$C,'Itaú CC'!$E:$E,$A8,'Itaú CC'!$F:$F,E$4,'Itaú CC'!$D:$D,"saída")+SUMIFS('Itaú Cartão'!$C:$C,'Itaú Cartão'!$E:$E,$A8,'Itaú Cartão'!$F:$F,E$4,'Itaú Cartão'!$D:$D,"saída")+SUMIFS('BTG Cartão'!$C:$C,'BTG Cartão'!$E:$E,$A8,'BTG Cartão'!$F:$F,E$4,'BTG Cartão'!$D:$D,"saída")),0)</f>
        <v/>
      </c>
      <c r="F8" s="9">
        <f>IFERROR(-(SUMIFS('Itaú CC'!$C:$C,'Itaú CC'!$E:$E,$A8,'Itaú CC'!$F:$F,F$4,'Itaú CC'!$D:$D,"saída")+SUMIFS('Itaú Cartão'!$C:$C,'Itaú Cartão'!$E:$E,$A8,'Itaú Cartão'!$F:$F,F$4,'Itaú Cartão'!$D:$D,"saída")+SUMIFS('BTG Cartão'!$C:$C,'BTG Cartão'!$E:$E,$A8,'BTG Cartão'!$F:$F,F$4,'BTG Cartão'!$D:$D,"saída")),0)</f>
        <v/>
      </c>
      <c r="G8" s="9">
        <f>IFERROR(-(SUMIFS('Itaú CC'!$C:$C,'Itaú CC'!$E:$E,$A8,'Itaú CC'!$F:$F,G$4,'Itaú CC'!$D:$D,"saída")+SUMIFS('Itaú Cartão'!$C:$C,'Itaú Cartão'!$E:$E,$A8,'Itaú Cartão'!$F:$F,G$4,'Itaú Cartão'!$D:$D,"saída")+SUMIFS('BTG Cartão'!$C:$C,'BTG Cartão'!$E:$E,$A8,'BTG Cartão'!$F:$F,G$4,'BTG Cartão'!$D:$D,"saída")),0)</f>
        <v/>
      </c>
      <c r="H8" s="9">
        <f>IFERROR(-(SUMIFS('Itaú CC'!$C:$C,'Itaú CC'!$E:$E,$A8,'Itaú CC'!$F:$F,H$4,'Itaú CC'!$D:$D,"saída")+SUMIFS('Itaú Cartão'!$C:$C,'Itaú Cartão'!$E:$E,$A8,'Itaú Cartão'!$F:$F,H$4,'Itaú Cartão'!$D:$D,"saída")+SUMIFS('BTG Cartão'!$C:$C,'BTG Cartão'!$E:$E,$A8,'BTG Cartão'!$F:$F,H$4,'BTG Cartão'!$D:$D,"saída")),0)</f>
        <v/>
      </c>
      <c r="I8" s="9">
        <f>IFERROR(-(SUMIFS('Itaú CC'!$C:$C,'Itaú CC'!$E:$E,$A8,'Itaú CC'!$F:$F,I$4,'Itaú CC'!$D:$D,"saída")+SUMIFS('Itaú Cartão'!$C:$C,'Itaú Cartão'!$E:$E,$A8,'Itaú Cartão'!$F:$F,I$4,'Itaú Cartão'!$D:$D,"saída")+SUMIFS('BTG Cartão'!$C:$C,'BTG Cartão'!$E:$E,$A8,'BTG Cartão'!$F:$F,I$4,'BTG Cartão'!$D:$D,"saída")),0)</f>
        <v/>
      </c>
      <c r="J8" s="9">
        <f>IFERROR(-(SUMIFS('Itaú CC'!$C:$C,'Itaú CC'!$E:$E,$A8,'Itaú CC'!$F:$F,J$4,'Itaú CC'!$D:$D,"saída")+SUMIFS('Itaú Cartão'!$C:$C,'Itaú Cartão'!$E:$E,$A8,'Itaú Cartão'!$F:$F,J$4,'Itaú Cartão'!$D:$D,"saída")+SUMIFS('BTG Cartão'!$C:$C,'BTG Cartão'!$E:$E,$A8,'BTG Cartão'!$F:$F,J$4,'BTG Cartão'!$D:$D,"saída")),0)</f>
        <v/>
      </c>
      <c r="K8" s="10">
        <f>SUM(B8:J8)</f>
        <v/>
      </c>
    </row>
    <row r="9" ht="16" customHeight="1">
      <c r="A9" s="5" t="inlineStr">
        <is>
          <t>Clube ECP</t>
        </is>
      </c>
      <c r="B9" s="6">
        <f>IFERROR(-(SUMIFS('Itaú CC'!$C:$C,'Itaú CC'!$E:$E,$A9,'Itaú CC'!$F:$F,B$4,'Itaú CC'!$D:$D,"saída")+SUMIFS('Itaú Cartão'!$C:$C,'Itaú Cartão'!$E:$E,$A9,'Itaú Cartão'!$F:$F,B$4,'Itaú Cartão'!$D:$D,"saída")+SUMIFS('BTG Cartão'!$C:$C,'BTG Cartão'!$E:$E,$A9,'BTG Cartão'!$F:$F,B$4,'BTG Cartão'!$D:$D,"saída")),0)</f>
        <v/>
      </c>
      <c r="C9" s="6">
        <f>IFERROR(-(SUMIFS('Itaú CC'!$C:$C,'Itaú CC'!$E:$E,$A9,'Itaú CC'!$F:$F,C$4,'Itaú CC'!$D:$D,"saída")+SUMIFS('Itaú Cartão'!$C:$C,'Itaú Cartão'!$E:$E,$A9,'Itaú Cartão'!$F:$F,C$4,'Itaú Cartão'!$D:$D,"saída")+SUMIFS('BTG Cartão'!$C:$C,'BTG Cartão'!$E:$E,$A9,'BTG Cartão'!$F:$F,C$4,'BTG Cartão'!$D:$D,"saída")),0)</f>
        <v/>
      </c>
      <c r="D9" s="6">
        <f>IFERROR(-(SUMIFS('Itaú CC'!$C:$C,'Itaú CC'!$E:$E,$A9,'Itaú CC'!$F:$F,D$4,'Itaú CC'!$D:$D,"saída")+SUMIFS('Itaú Cartão'!$C:$C,'Itaú Cartão'!$E:$E,$A9,'Itaú Cartão'!$F:$F,D$4,'Itaú Cartão'!$D:$D,"saída")+SUMIFS('BTG Cartão'!$C:$C,'BTG Cartão'!$E:$E,$A9,'BTG Cartão'!$F:$F,D$4,'BTG Cartão'!$D:$D,"saída")),0)</f>
        <v/>
      </c>
      <c r="E9" s="6">
        <f>IFERROR(-(SUMIFS('Itaú CC'!$C:$C,'Itaú CC'!$E:$E,$A9,'Itaú CC'!$F:$F,E$4,'Itaú CC'!$D:$D,"saída")+SUMIFS('Itaú Cartão'!$C:$C,'Itaú Cartão'!$E:$E,$A9,'Itaú Cartão'!$F:$F,E$4,'Itaú Cartão'!$D:$D,"saída")+SUMIFS('BTG Cartão'!$C:$C,'BTG Cartão'!$E:$E,$A9,'BTG Cartão'!$F:$F,E$4,'BTG Cartão'!$D:$D,"saída")),0)</f>
        <v/>
      </c>
      <c r="F9" s="6">
        <f>IFERROR(-(SUMIFS('Itaú CC'!$C:$C,'Itaú CC'!$E:$E,$A9,'Itaú CC'!$F:$F,F$4,'Itaú CC'!$D:$D,"saída")+SUMIFS('Itaú Cartão'!$C:$C,'Itaú Cartão'!$E:$E,$A9,'Itaú Cartão'!$F:$F,F$4,'Itaú Cartão'!$D:$D,"saída")+SUMIFS('BTG Cartão'!$C:$C,'BTG Cartão'!$E:$E,$A9,'BTG Cartão'!$F:$F,F$4,'BTG Cartão'!$D:$D,"saída")),0)</f>
        <v/>
      </c>
      <c r="G9" s="6">
        <f>IFERROR(-(SUMIFS('Itaú CC'!$C:$C,'Itaú CC'!$E:$E,$A9,'Itaú CC'!$F:$F,G$4,'Itaú CC'!$D:$D,"saída")+SUMIFS('Itaú Cartão'!$C:$C,'Itaú Cartão'!$E:$E,$A9,'Itaú Cartão'!$F:$F,G$4,'Itaú Cartão'!$D:$D,"saída")+SUMIFS('BTG Cartão'!$C:$C,'BTG Cartão'!$E:$E,$A9,'BTG Cartão'!$F:$F,G$4,'BTG Cartão'!$D:$D,"saída")),0)</f>
        <v/>
      </c>
      <c r="H9" s="6">
        <f>IFERROR(-(SUMIFS('Itaú CC'!$C:$C,'Itaú CC'!$E:$E,$A9,'Itaú CC'!$F:$F,H$4,'Itaú CC'!$D:$D,"saída")+SUMIFS('Itaú Cartão'!$C:$C,'Itaú Cartão'!$E:$E,$A9,'Itaú Cartão'!$F:$F,H$4,'Itaú Cartão'!$D:$D,"saída")+SUMIFS('BTG Cartão'!$C:$C,'BTG Cartão'!$E:$E,$A9,'BTG Cartão'!$F:$F,H$4,'BTG Cartão'!$D:$D,"saída")),0)</f>
        <v/>
      </c>
      <c r="I9" s="6">
        <f>IFERROR(-(SUMIFS('Itaú CC'!$C:$C,'Itaú CC'!$E:$E,$A9,'Itaú CC'!$F:$F,I$4,'Itaú CC'!$D:$D,"saída")+SUMIFS('Itaú Cartão'!$C:$C,'Itaú Cartão'!$E:$E,$A9,'Itaú Cartão'!$F:$F,I$4,'Itaú Cartão'!$D:$D,"saída")+SUMIFS('BTG Cartão'!$C:$C,'BTG Cartão'!$E:$E,$A9,'BTG Cartão'!$F:$F,I$4,'BTG Cartão'!$D:$D,"saída")),0)</f>
        <v/>
      </c>
      <c r="J9" s="6">
        <f>IFERROR(-(SUMIFS('Itaú CC'!$C:$C,'Itaú CC'!$E:$E,$A9,'Itaú CC'!$F:$F,J$4,'Itaú CC'!$D:$D,"saída")+SUMIFS('Itaú Cartão'!$C:$C,'Itaú Cartão'!$E:$E,$A9,'Itaú Cartão'!$F:$F,J$4,'Itaú Cartão'!$D:$D,"saída")+SUMIFS('BTG Cartão'!$C:$C,'BTG Cartão'!$E:$E,$A9,'BTG Cartão'!$F:$F,J$4,'BTG Cartão'!$D:$D,"saída")),0)</f>
        <v/>
      </c>
      <c r="K9" s="7">
        <f>SUM(B9:J9)</f>
        <v/>
      </c>
    </row>
    <row r="10" ht="16" customHeight="1">
      <c r="A10" s="8" t="inlineStr">
        <is>
          <t>Clube Paineiras</t>
        </is>
      </c>
      <c r="B10" s="9">
        <f>IFERROR(-(SUMIFS('Itaú CC'!$C:$C,'Itaú CC'!$E:$E,$A10,'Itaú CC'!$F:$F,B$4,'Itaú CC'!$D:$D,"saída")+SUMIFS('Itaú Cartão'!$C:$C,'Itaú Cartão'!$E:$E,$A10,'Itaú Cartão'!$F:$F,B$4,'Itaú Cartão'!$D:$D,"saída")+SUMIFS('BTG Cartão'!$C:$C,'BTG Cartão'!$E:$E,$A10,'BTG Cartão'!$F:$F,B$4,'BTG Cartão'!$D:$D,"saída")),0)</f>
        <v/>
      </c>
      <c r="C10" s="9">
        <f>IFERROR(-(SUMIFS('Itaú CC'!$C:$C,'Itaú CC'!$E:$E,$A10,'Itaú CC'!$F:$F,C$4,'Itaú CC'!$D:$D,"saída")+SUMIFS('Itaú Cartão'!$C:$C,'Itaú Cartão'!$E:$E,$A10,'Itaú Cartão'!$F:$F,C$4,'Itaú Cartão'!$D:$D,"saída")+SUMIFS('BTG Cartão'!$C:$C,'BTG Cartão'!$E:$E,$A10,'BTG Cartão'!$F:$F,C$4,'BTG Cartão'!$D:$D,"saída")),0)</f>
        <v/>
      </c>
      <c r="D10" s="9">
        <f>IFERROR(-(SUMIFS('Itaú CC'!$C:$C,'Itaú CC'!$E:$E,$A10,'Itaú CC'!$F:$F,D$4,'Itaú CC'!$D:$D,"saída")+SUMIFS('Itaú Cartão'!$C:$C,'Itaú Cartão'!$E:$E,$A10,'Itaú Cartão'!$F:$F,D$4,'Itaú Cartão'!$D:$D,"saída")+SUMIFS('BTG Cartão'!$C:$C,'BTG Cartão'!$E:$E,$A10,'BTG Cartão'!$F:$F,D$4,'BTG Cartão'!$D:$D,"saída")),0)</f>
        <v/>
      </c>
      <c r="E10" s="9">
        <f>IFERROR(-(SUMIFS('Itaú CC'!$C:$C,'Itaú CC'!$E:$E,$A10,'Itaú CC'!$F:$F,E$4,'Itaú CC'!$D:$D,"saída")+SUMIFS('Itaú Cartão'!$C:$C,'Itaú Cartão'!$E:$E,$A10,'Itaú Cartão'!$F:$F,E$4,'Itaú Cartão'!$D:$D,"saída")+SUMIFS('BTG Cartão'!$C:$C,'BTG Cartão'!$E:$E,$A10,'BTG Cartão'!$F:$F,E$4,'BTG Cartão'!$D:$D,"saída")),0)</f>
        <v/>
      </c>
      <c r="F10" s="9">
        <f>IFERROR(-(SUMIFS('Itaú CC'!$C:$C,'Itaú CC'!$E:$E,$A10,'Itaú CC'!$F:$F,F$4,'Itaú CC'!$D:$D,"saída")+SUMIFS('Itaú Cartão'!$C:$C,'Itaú Cartão'!$E:$E,$A10,'Itaú Cartão'!$F:$F,F$4,'Itaú Cartão'!$D:$D,"saída")+SUMIFS('BTG Cartão'!$C:$C,'BTG Cartão'!$E:$E,$A10,'BTG Cartão'!$F:$F,F$4,'BTG Cartão'!$D:$D,"saída")),0)</f>
        <v/>
      </c>
      <c r="G10" s="9">
        <f>IFERROR(-(SUMIFS('Itaú CC'!$C:$C,'Itaú CC'!$E:$E,$A10,'Itaú CC'!$F:$F,G$4,'Itaú CC'!$D:$D,"saída")+SUMIFS('Itaú Cartão'!$C:$C,'Itaú Cartão'!$E:$E,$A10,'Itaú Cartão'!$F:$F,G$4,'Itaú Cartão'!$D:$D,"saída")+SUMIFS('BTG Cartão'!$C:$C,'BTG Cartão'!$E:$E,$A10,'BTG Cartão'!$F:$F,G$4,'BTG Cartão'!$D:$D,"saída")),0)</f>
        <v/>
      </c>
      <c r="H10" s="9">
        <f>IFERROR(-(SUMIFS('Itaú CC'!$C:$C,'Itaú CC'!$E:$E,$A10,'Itaú CC'!$F:$F,H$4,'Itaú CC'!$D:$D,"saída")+SUMIFS('Itaú Cartão'!$C:$C,'Itaú Cartão'!$E:$E,$A10,'Itaú Cartão'!$F:$F,H$4,'Itaú Cartão'!$D:$D,"saída")+SUMIFS('BTG Cartão'!$C:$C,'BTG Cartão'!$E:$E,$A10,'BTG Cartão'!$F:$F,H$4,'BTG Cartão'!$D:$D,"saída")),0)</f>
        <v/>
      </c>
      <c r="I10" s="9">
        <f>IFERROR(-(SUMIFS('Itaú CC'!$C:$C,'Itaú CC'!$E:$E,$A10,'Itaú CC'!$F:$F,I$4,'Itaú CC'!$D:$D,"saída")+SUMIFS('Itaú Cartão'!$C:$C,'Itaú Cartão'!$E:$E,$A10,'Itaú Cartão'!$F:$F,I$4,'Itaú Cartão'!$D:$D,"saída")+SUMIFS('BTG Cartão'!$C:$C,'BTG Cartão'!$E:$E,$A10,'BTG Cartão'!$F:$F,I$4,'BTG Cartão'!$D:$D,"saída")),0)</f>
        <v/>
      </c>
      <c r="J10" s="9">
        <f>IFERROR(-(SUMIFS('Itaú CC'!$C:$C,'Itaú CC'!$E:$E,$A10,'Itaú CC'!$F:$F,J$4,'Itaú CC'!$D:$D,"saída")+SUMIFS('Itaú Cartão'!$C:$C,'Itaú Cartão'!$E:$E,$A10,'Itaú Cartão'!$F:$F,J$4,'Itaú Cartão'!$D:$D,"saída")+SUMIFS('BTG Cartão'!$C:$C,'BTG Cartão'!$E:$E,$A10,'BTG Cartão'!$F:$F,J$4,'BTG Cartão'!$D:$D,"saída")),0)</f>
        <v/>
      </c>
      <c r="K10" s="10">
        <f>SUM(B10:J10)</f>
        <v/>
      </c>
    </row>
    <row r="11" ht="16" customHeight="1">
      <c r="A11" s="5" t="inlineStr">
        <is>
          <t>Clínica Esposa</t>
        </is>
      </c>
      <c r="B11" s="6">
        <f>IFERROR(-(SUMIFS('Itaú CC'!$C:$C,'Itaú CC'!$E:$E,$A11,'Itaú CC'!$F:$F,B$4,'Itaú CC'!$D:$D,"saída")+SUMIFS('Itaú Cartão'!$C:$C,'Itaú Cartão'!$E:$E,$A11,'Itaú Cartão'!$F:$F,B$4,'Itaú Cartão'!$D:$D,"saída")+SUMIFS('BTG Cartão'!$C:$C,'BTG Cartão'!$E:$E,$A11,'BTG Cartão'!$F:$F,B$4,'BTG Cartão'!$D:$D,"saída")),0)</f>
        <v/>
      </c>
      <c r="C11" s="6">
        <f>IFERROR(-(SUMIFS('Itaú CC'!$C:$C,'Itaú CC'!$E:$E,$A11,'Itaú CC'!$F:$F,C$4,'Itaú CC'!$D:$D,"saída")+SUMIFS('Itaú Cartão'!$C:$C,'Itaú Cartão'!$E:$E,$A11,'Itaú Cartão'!$F:$F,C$4,'Itaú Cartão'!$D:$D,"saída")+SUMIFS('BTG Cartão'!$C:$C,'BTG Cartão'!$E:$E,$A11,'BTG Cartão'!$F:$F,C$4,'BTG Cartão'!$D:$D,"saída")),0)</f>
        <v/>
      </c>
      <c r="D11" s="6">
        <f>IFERROR(-(SUMIFS('Itaú CC'!$C:$C,'Itaú CC'!$E:$E,$A11,'Itaú CC'!$F:$F,D$4,'Itaú CC'!$D:$D,"saída")+SUMIFS('Itaú Cartão'!$C:$C,'Itaú Cartão'!$E:$E,$A11,'Itaú Cartão'!$F:$F,D$4,'Itaú Cartão'!$D:$D,"saída")+SUMIFS('BTG Cartão'!$C:$C,'BTG Cartão'!$E:$E,$A11,'BTG Cartão'!$F:$F,D$4,'BTG Cartão'!$D:$D,"saída")),0)</f>
        <v/>
      </c>
      <c r="E11" s="6">
        <f>IFERROR(-(SUMIFS('Itaú CC'!$C:$C,'Itaú CC'!$E:$E,$A11,'Itaú CC'!$F:$F,E$4,'Itaú CC'!$D:$D,"saída")+SUMIFS('Itaú Cartão'!$C:$C,'Itaú Cartão'!$E:$E,$A11,'Itaú Cartão'!$F:$F,E$4,'Itaú Cartão'!$D:$D,"saída")+SUMIFS('BTG Cartão'!$C:$C,'BTG Cartão'!$E:$E,$A11,'BTG Cartão'!$F:$F,E$4,'BTG Cartão'!$D:$D,"saída")),0)</f>
        <v/>
      </c>
      <c r="F11" s="6">
        <f>IFERROR(-(SUMIFS('Itaú CC'!$C:$C,'Itaú CC'!$E:$E,$A11,'Itaú CC'!$F:$F,F$4,'Itaú CC'!$D:$D,"saída")+SUMIFS('Itaú Cartão'!$C:$C,'Itaú Cartão'!$E:$E,$A11,'Itaú Cartão'!$F:$F,F$4,'Itaú Cartão'!$D:$D,"saída")+SUMIFS('BTG Cartão'!$C:$C,'BTG Cartão'!$E:$E,$A11,'BTG Cartão'!$F:$F,F$4,'BTG Cartão'!$D:$D,"saída")),0)</f>
        <v/>
      </c>
      <c r="G11" s="6">
        <f>IFERROR(-(SUMIFS('Itaú CC'!$C:$C,'Itaú CC'!$E:$E,$A11,'Itaú CC'!$F:$F,G$4,'Itaú CC'!$D:$D,"saída")+SUMIFS('Itaú Cartão'!$C:$C,'Itaú Cartão'!$E:$E,$A11,'Itaú Cartão'!$F:$F,G$4,'Itaú Cartão'!$D:$D,"saída")+SUMIFS('BTG Cartão'!$C:$C,'BTG Cartão'!$E:$E,$A11,'BTG Cartão'!$F:$F,G$4,'BTG Cartão'!$D:$D,"saída")),0)</f>
        <v/>
      </c>
      <c r="H11" s="6">
        <f>IFERROR(-(SUMIFS('Itaú CC'!$C:$C,'Itaú CC'!$E:$E,$A11,'Itaú CC'!$F:$F,H$4,'Itaú CC'!$D:$D,"saída")+SUMIFS('Itaú Cartão'!$C:$C,'Itaú Cartão'!$E:$E,$A11,'Itaú Cartão'!$F:$F,H$4,'Itaú Cartão'!$D:$D,"saída")+SUMIFS('BTG Cartão'!$C:$C,'BTG Cartão'!$E:$E,$A11,'BTG Cartão'!$F:$F,H$4,'BTG Cartão'!$D:$D,"saída")),0)</f>
        <v/>
      </c>
      <c r="I11" s="6">
        <f>IFERROR(-(SUMIFS('Itaú CC'!$C:$C,'Itaú CC'!$E:$E,$A11,'Itaú CC'!$F:$F,I$4,'Itaú CC'!$D:$D,"saída")+SUMIFS('Itaú Cartão'!$C:$C,'Itaú Cartão'!$E:$E,$A11,'Itaú Cartão'!$F:$F,I$4,'Itaú Cartão'!$D:$D,"saída")+SUMIFS('BTG Cartão'!$C:$C,'BTG Cartão'!$E:$E,$A11,'BTG Cartão'!$F:$F,I$4,'BTG Cartão'!$D:$D,"saída")),0)</f>
        <v/>
      </c>
      <c r="J11" s="6">
        <f>IFERROR(-(SUMIFS('Itaú CC'!$C:$C,'Itaú CC'!$E:$E,$A11,'Itaú CC'!$F:$F,J$4,'Itaú CC'!$D:$D,"saída")+SUMIFS('Itaú Cartão'!$C:$C,'Itaú Cartão'!$E:$E,$A11,'Itaú Cartão'!$F:$F,J$4,'Itaú Cartão'!$D:$D,"saída")+SUMIFS('BTG Cartão'!$C:$C,'BTG Cartão'!$E:$E,$A11,'BTG Cartão'!$F:$F,J$4,'BTG Cartão'!$D:$D,"saída")),0)</f>
        <v/>
      </c>
      <c r="K11" s="7">
        <f>SUM(B11:J11)</f>
        <v/>
      </c>
    </row>
    <row r="12" ht="16" customHeight="1">
      <c r="A12" s="8" t="inlineStr">
        <is>
          <t>Combustível</t>
        </is>
      </c>
      <c r="B12" s="9">
        <f>IFERROR(-(SUMIFS('Itaú CC'!$C:$C,'Itaú CC'!$E:$E,$A12,'Itaú CC'!$F:$F,B$4,'Itaú CC'!$D:$D,"saída")+SUMIFS('Itaú Cartão'!$C:$C,'Itaú Cartão'!$E:$E,$A12,'Itaú Cartão'!$F:$F,B$4,'Itaú Cartão'!$D:$D,"saída")+SUMIFS('BTG Cartão'!$C:$C,'BTG Cartão'!$E:$E,$A12,'BTG Cartão'!$F:$F,B$4,'BTG Cartão'!$D:$D,"saída")),0)</f>
        <v/>
      </c>
      <c r="C12" s="9">
        <f>IFERROR(-(SUMIFS('Itaú CC'!$C:$C,'Itaú CC'!$E:$E,$A12,'Itaú CC'!$F:$F,C$4,'Itaú CC'!$D:$D,"saída")+SUMIFS('Itaú Cartão'!$C:$C,'Itaú Cartão'!$E:$E,$A12,'Itaú Cartão'!$F:$F,C$4,'Itaú Cartão'!$D:$D,"saída")+SUMIFS('BTG Cartão'!$C:$C,'BTG Cartão'!$E:$E,$A12,'BTG Cartão'!$F:$F,C$4,'BTG Cartão'!$D:$D,"saída")),0)</f>
        <v/>
      </c>
      <c r="D12" s="9">
        <f>IFERROR(-(SUMIFS('Itaú CC'!$C:$C,'Itaú CC'!$E:$E,$A12,'Itaú CC'!$F:$F,D$4,'Itaú CC'!$D:$D,"saída")+SUMIFS('Itaú Cartão'!$C:$C,'Itaú Cartão'!$E:$E,$A12,'Itaú Cartão'!$F:$F,D$4,'Itaú Cartão'!$D:$D,"saída")+SUMIFS('BTG Cartão'!$C:$C,'BTG Cartão'!$E:$E,$A12,'BTG Cartão'!$F:$F,D$4,'BTG Cartão'!$D:$D,"saída")),0)</f>
        <v/>
      </c>
      <c r="E12" s="9">
        <f>IFERROR(-(SUMIFS('Itaú CC'!$C:$C,'Itaú CC'!$E:$E,$A12,'Itaú CC'!$F:$F,E$4,'Itaú CC'!$D:$D,"saída")+SUMIFS('Itaú Cartão'!$C:$C,'Itaú Cartão'!$E:$E,$A12,'Itaú Cartão'!$F:$F,E$4,'Itaú Cartão'!$D:$D,"saída")+SUMIFS('BTG Cartão'!$C:$C,'BTG Cartão'!$E:$E,$A12,'BTG Cartão'!$F:$F,E$4,'BTG Cartão'!$D:$D,"saída")),0)</f>
        <v/>
      </c>
      <c r="F12" s="9">
        <f>IFERROR(-(SUMIFS('Itaú CC'!$C:$C,'Itaú CC'!$E:$E,$A12,'Itaú CC'!$F:$F,F$4,'Itaú CC'!$D:$D,"saída")+SUMIFS('Itaú Cartão'!$C:$C,'Itaú Cartão'!$E:$E,$A12,'Itaú Cartão'!$F:$F,F$4,'Itaú Cartão'!$D:$D,"saída")+SUMIFS('BTG Cartão'!$C:$C,'BTG Cartão'!$E:$E,$A12,'BTG Cartão'!$F:$F,F$4,'BTG Cartão'!$D:$D,"saída")),0)</f>
        <v/>
      </c>
      <c r="G12" s="9">
        <f>IFERROR(-(SUMIFS('Itaú CC'!$C:$C,'Itaú CC'!$E:$E,$A12,'Itaú CC'!$F:$F,G$4,'Itaú CC'!$D:$D,"saída")+SUMIFS('Itaú Cartão'!$C:$C,'Itaú Cartão'!$E:$E,$A12,'Itaú Cartão'!$F:$F,G$4,'Itaú Cartão'!$D:$D,"saída")+SUMIFS('BTG Cartão'!$C:$C,'BTG Cartão'!$E:$E,$A12,'BTG Cartão'!$F:$F,G$4,'BTG Cartão'!$D:$D,"saída")),0)</f>
        <v/>
      </c>
      <c r="H12" s="9">
        <f>IFERROR(-(SUMIFS('Itaú CC'!$C:$C,'Itaú CC'!$E:$E,$A12,'Itaú CC'!$F:$F,H$4,'Itaú CC'!$D:$D,"saída")+SUMIFS('Itaú Cartão'!$C:$C,'Itaú Cartão'!$E:$E,$A12,'Itaú Cartão'!$F:$F,H$4,'Itaú Cartão'!$D:$D,"saída")+SUMIFS('BTG Cartão'!$C:$C,'BTG Cartão'!$E:$E,$A12,'BTG Cartão'!$F:$F,H$4,'BTG Cartão'!$D:$D,"saída")),0)</f>
        <v/>
      </c>
      <c r="I12" s="9">
        <f>IFERROR(-(SUMIFS('Itaú CC'!$C:$C,'Itaú CC'!$E:$E,$A12,'Itaú CC'!$F:$F,I$4,'Itaú CC'!$D:$D,"saída")+SUMIFS('Itaú Cartão'!$C:$C,'Itaú Cartão'!$E:$E,$A12,'Itaú Cartão'!$F:$F,I$4,'Itaú Cartão'!$D:$D,"saída")+SUMIFS('BTG Cartão'!$C:$C,'BTG Cartão'!$E:$E,$A12,'BTG Cartão'!$F:$F,I$4,'BTG Cartão'!$D:$D,"saída")),0)</f>
        <v/>
      </c>
      <c r="J12" s="9">
        <f>IFERROR(-(SUMIFS('Itaú CC'!$C:$C,'Itaú CC'!$E:$E,$A12,'Itaú CC'!$F:$F,J$4,'Itaú CC'!$D:$D,"saída")+SUMIFS('Itaú Cartão'!$C:$C,'Itaú Cartão'!$E:$E,$A12,'Itaú Cartão'!$F:$F,J$4,'Itaú Cartão'!$D:$D,"saída")+SUMIFS('BTG Cartão'!$C:$C,'BTG Cartão'!$E:$E,$A12,'BTG Cartão'!$F:$F,J$4,'BTG Cartão'!$D:$D,"saída")),0)</f>
        <v/>
      </c>
      <c r="K12" s="10">
        <f>SUM(B12:J12)</f>
        <v/>
      </c>
    </row>
    <row r="13" ht="16" customHeight="1">
      <c r="A13" s="5" t="inlineStr">
        <is>
          <t>Contabilidade</t>
        </is>
      </c>
      <c r="B13" s="6">
        <f>IFERROR(-(SUMIFS('Itaú CC'!$C:$C,'Itaú CC'!$E:$E,$A13,'Itaú CC'!$F:$F,B$4,'Itaú CC'!$D:$D,"saída")+SUMIFS('Itaú Cartão'!$C:$C,'Itaú Cartão'!$E:$E,$A13,'Itaú Cartão'!$F:$F,B$4,'Itaú Cartão'!$D:$D,"saída")+SUMIFS('BTG Cartão'!$C:$C,'BTG Cartão'!$E:$E,$A13,'BTG Cartão'!$F:$F,B$4,'BTG Cartão'!$D:$D,"saída")),0)</f>
        <v/>
      </c>
      <c r="C13" s="6">
        <f>IFERROR(-(SUMIFS('Itaú CC'!$C:$C,'Itaú CC'!$E:$E,$A13,'Itaú CC'!$F:$F,C$4,'Itaú CC'!$D:$D,"saída")+SUMIFS('Itaú Cartão'!$C:$C,'Itaú Cartão'!$E:$E,$A13,'Itaú Cartão'!$F:$F,C$4,'Itaú Cartão'!$D:$D,"saída")+SUMIFS('BTG Cartão'!$C:$C,'BTG Cartão'!$E:$E,$A13,'BTG Cartão'!$F:$F,C$4,'BTG Cartão'!$D:$D,"saída")),0)</f>
        <v/>
      </c>
      <c r="D13" s="6">
        <f>IFERROR(-(SUMIFS('Itaú CC'!$C:$C,'Itaú CC'!$E:$E,$A13,'Itaú CC'!$F:$F,D$4,'Itaú CC'!$D:$D,"saída")+SUMIFS('Itaú Cartão'!$C:$C,'Itaú Cartão'!$E:$E,$A13,'Itaú Cartão'!$F:$F,D$4,'Itaú Cartão'!$D:$D,"saída")+SUMIFS('BTG Cartão'!$C:$C,'BTG Cartão'!$E:$E,$A13,'BTG Cartão'!$F:$F,D$4,'BTG Cartão'!$D:$D,"saída")),0)</f>
        <v/>
      </c>
      <c r="E13" s="6">
        <f>IFERROR(-(SUMIFS('Itaú CC'!$C:$C,'Itaú CC'!$E:$E,$A13,'Itaú CC'!$F:$F,E$4,'Itaú CC'!$D:$D,"saída")+SUMIFS('Itaú Cartão'!$C:$C,'Itaú Cartão'!$E:$E,$A13,'Itaú Cartão'!$F:$F,E$4,'Itaú Cartão'!$D:$D,"saída")+SUMIFS('BTG Cartão'!$C:$C,'BTG Cartão'!$E:$E,$A13,'BTG Cartão'!$F:$F,E$4,'BTG Cartão'!$D:$D,"saída")),0)</f>
        <v/>
      </c>
      <c r="F13" s="6">
        <f>IFERROR(-(SUMIFS('Itaú CC'!$C:$C,'Itaú CC'!$E:$E,$A13,'Itaú CC'!$F:$F,F$4,'Itaú CC'!$D:$D,"saída")+SUMIFS('Itaú Cartão'!$C:$C,'Itaú Cartão'!$E:$E,$A13,'Itaú Cartão'!$F:$F,F$4,'Itaú Cartão'!$D:$D,"saída")+SUMIFS('BTG Cartão'!$C:$C,'BTG Cartão'!$E:$E,$A13,'BTG Cartão'!$F:$F,F$4,'BTG Cartão'!$D:$D,"saída")),0)</f>
        <v/>
      </c>
      <c r="G13" s="6">
        <f>IFERROR(-(SUMIFS('Itaú CC'!$C:$C,'Itaú CC'!$E:$E,$A13,'Itaú CC'!$F:$F,G$4,'Itaú CC'!$D:$D,"saída")+SUMIFS('Itaú Cartão'!$C:$C,'Itaú Cartão'!$E:$E,$A13,'Itaú Cartão'!$F:$F,G$4,'Itaú Cartão'!$D:$D,"saída")+SUMIFS('BTG Cartão'!$C:$C,'BTG Cartão'!$E:$E,$A13,'BTG Cartão'!$F:$F,G$4,'BTG Cartão'!$D:$D,"saída")),0)</f>
        <v/>
      </c>
      <c r="H13" s="6">
        <f>IFERROR(-(SUMIFS('Itaú CC'!$C:$C,'Itaú CC'!$E:$E,$A13,'Itaú CC'!$F:$F,H$4,'Itaú CC'!$D:$D,"saída")+SUMIFS('Itaú Cartão'!$C:$C,'Itaú Cartão'!$E:$E,$A13,'Itaú Cartão'!$F:$F,H$4,'Itaú Cartão'!$D:$D,"saída")+SUMIFS('BTG Cartão'!$C:$C,'BTG Cartão'!$E:$E,$A13,'BTG Cartão'!$F:$F,H$4,'BTG Cartão'!$D:$D,"saída")),0)</f>
        <v/>
      </c>
      <c r="I13" s="6">
        <f>IFERROR(-(SUMIFS('Itaú CC'!$C:$C,'Itaú CC'!$E:$E,$A13,'Itaú CC'!$F:$F,I$4,'Itaú CC'!$D:$D,"saída")+SUMIFS('Itaú Cartão'!$C:$C,'Itaú Cartão'!$E:$E,$A13,'Itaú Cartão'!$F:$F,I$4,'Itaú Cartão'!$D:$D,"saída")+SUMIFS('BTG Cartão'!$C:$C,'BTG Cartão'!$E:$E,$A13,'BTG Cartão'!$F:$F,I$4,'BTG Cartão'!$D:$D,"saída")),0)</f>
        <v/>
      </c>
      <c r="J13" s="6">
        <f>IFERROR(-(SUMIFS('Itaú CC'!$C:$C,'Itaú CC'!$E:$E,$A13,'Itaú CC'!$F:$F,J$4,'Itaú CC'!$D:$D,"saída")+SUMIFS('Itaú Cartão'!$C:$C,'Itaú Cartão'!$E:$E,$A13,'Itaú Cartão'!$F:$F,J$4,'Itaú Cartão'!$D:$D,"saída")+SUMIFS('BTG Cartão'!$C:$C,'BTG Cartão'!$E:$E,$A13,'BTG Cartão'!$F:$F,J$4,'BTG Cartão'!$D:$D,"saída")),0)</f>
        <v/>
      </c>
      <c r="K13" s="7">
        <f>SUM(B13:J13)</f>
        <v/>
      </c>
    </row>
    <row r="14" ht="16" customHeight="1">
      <c r="A14" s="8" t="inlineStr">
        <is>
          <t>Cripto</t>
        </is>
      </c>
      <c r="B14" s="9">
        <f>IFERROR(-(SUMIFS('Itaú CC'!$C:$C,'Itaú CC'!$E:$E,$A14,'Itaú CC'!$F:$F,B$4,'Itaú CC'!$D:$D,"saída")+SUMIFS('Itaú Cartão'!$C:$C,'Itaú Cartão'!$E:$E,$A14,'Itaú Cartão'!$F:$F,B$4,'Itaú Cartão'!$D:$D,"saída")+SUMIFS('BTG Cartão'!$C:$C,'BTG Cartão'!$E:$E,$A14,'BTG Cartão'!$F:$F,B$4,'BTG Cartão'!$D:$D,"saída")),0)</f>
        <v/>
      </c>
      <c r="C14" s="9">
        <f>IFERROR(-(SUMIFS('Itaú CC'!$C:$C,'Itaú CC'!$E:$E,$A14,'Itaú CC'!$F:$F,C$4,'Itaú CC'!$D:$D,"saída")+SUMIFS('Itaú Cartão'!$C:$C,'Itaú Cartão'!$E:$E,$A14,'Itaú Cartão'!$F:$F,C$4,'Itaú Cartão'!$D:$D,"saída")+SUMIFS('BTG Cartão'!$C:$C,'BTG Cartão'!$E:$E,$A14,'BTG Cartão'!$F:$F,C$4,'BTG Cartão'!$D:$D,"saída")),0)</f>
        <v/>
      </c>
      <c r="D14" s="9">
        <f>IFERROR(-(SUMIFS('Itaú CC'!$C:$C,'Itaú CC'!$E:$E,$A14,'Itaú CC'!$F:$F,D$4,'Itaú CC'!$D:$D,"saída")+SUMIFS('Itaú Cartão'!$C:$C,'Itaú Cartão'!$E:$E,$A14,'Itaú Cartão'!$F:$F,D$4,'Itaú Cartão'!$D:$D,"saída")+SUMIFS('BTG Cartão'!$C:$C,'BTG Cartão'!$E:$E,$A14,'BTG Cartão'!$F:$F,D$4,'BTG Cartão'!$D:$D,"saída")),0)</f>
        <v/>
      </c>
      <c r="E14" s="9">
        <f>IFERROR(-(SUMIFS('Itaú CC'!$C:$C,'Itaú CC'!$E:$E,$A14,'Itaú CC'!$F:$F,E$4,'Itaú CC'!$D:$D,"saída")+SUMIFS('Itaú Cartão'!$C:$C,'Itaú Cartão'!$E:$E,$A14,'Itaú Cartão'!$F:$F,E$4,'Itaú Cartão'!$D:$D,"saída")+SUMIFS('BTG Cartão'!$C:$C,'BTG Cartão'!$E:$E,$A14,'BTG Cartão'!$F:$F,E$4,'BTG Cartão'!$D:$D,"saída")),0)</f>
        <v/>
      </c>
      <c r="F14" s="9">
        <f>IFERROR(-(SUMIFS('Itaú CC'!$C:$C,'Itaú CC'!$E:$E,$A14,'Itaú CC'!$F:$F,F$4,'Itaú CC'!$D:$D,"saída")+SUMIFS('Itaú Cartão'!$C:$C,'Itaú Cartão'!$E:$E,$A14,'Itaú Cartão'!$F:$F,F$4,'Itaú Cartão'!$D:$D,"saída")+SUMIFS('BTG Cartão'!$C:$C,'BTG Cartão'!$E:$E,$A14,'BTG Cartão'!$F:$F,F$4,'BTG Cartão'!$D:$D,"saída")),0)</f>
        <v/>
      </c>
      <c r="G14" s="9">
        <f>IFERROR(-(SUMIFS('Itaú CC'!$C:$C,'Itaú CC'!$E:$E,$A14,'Itaú CC'!$F:$F,G$4,'Itaú CC'!$D:$D,"saída")+SUMIFS('Itaú Cartão'!$C:$C,'Itaú Cartão'!$E:$E,$A14,'Itaú Cartão'!$F:$F,G$4,'Itaú Cartão'!$D:$D,"saída")+SUMIFS('BTG Cartão'!$C:$C,'BTG Cartão'!$E:$E,$A14,'BTG Cartão'!$F:$F,G$4,'BTG Cartão'!$D:$D,"saída")),0)</f>
        <v/>
      </c>
      <c r="H14" s="9">
        <f>IFERROR(-(SUMIFS('Itaú CC'!$C:$C,'Itaú CC'!$E:$E,$A14,'Itaú CC'!$F:$F,H$4,'Itaú CC'!$D:$D,"saída")+SUMIFS('Itaú Cartão'!$C:$C,'Itaú Cartão'!$E:$E,$A14,'Itaú Cartão'!$F:$F,H$4,'Itaú Cartão'!$D:$D,"saída")+SUMIFS('BTG Cartão'!$C:$C,'BTG Cartão'!$E:$E,$A14,'BTG Cartão'!$F:$F,H$4,'BTG Cartão'!$D:$D,"saída")),0)</f>
        <v/>
      </c>
      <c r="I14" s="9">
        <f>IFERROR(-(SUMIFS('Itaú CC'!$C:$C,'Itaú CC'!$E:$E,$A14,'Itaú CC'!$F:$F,I$4,'Itaú CC'!$D:$D,"saída")+SUMIFS('Itaú Cartão'!$C:$C,'Itaú Cartão'!$E:$E,$A14,'Itaú Cartão'!$F:$F,I$4,'Itaú Cartão'!$D:$D,"saída")+SUMIFS('BTG Cartão'!$C:$C,'BTG Cartão'!$E:$E,$A14,'BTG Cartão'!$F:$F,I$4,'BTG Cartão'!$D:$D,"saída")),0)</f>
        <v/>
      </c>
      <c r="J14" s="9">
        <f>IFERROR(-(SUMIFS('Itaú CC'!$C:$C,'Itaú CC'!$E:$E,$A14,'Itaú CC'!$F:$F,J$4,'Itaú CC'!$D:$D,"saída")+SUMIFS('Itaú Cartão'!$C:$C,'Itaú Cartão'!$E:$E,$A14,'Itaú Cartão'!$F:$F,J$4,'Itaú Cartão'!$D:$D,"saída")+SUMIFS('BTG Cartão'!$C:$C,'BTG Cartão'!$E:$E,$A14,'BTG Cartão'!$F:$F,J$4,'BTG Cartão'!$D:$D,"saída")),0)</f>
        <v/>
      </c>
      <c r="K14" s="10">
        <f>SUM(B14:J14)</f>
        <v/>
      </c>
    </row>
    <row r="15" ht="16" customHeight="1">
      <c r="A15" s="5" t="inlineStr">
        <is>
          <t>Educação</t>
        </is>
      </c>
      <c r="B15" s="6">
        <f>IFERROR(-(SUMIFS('Itaú CC'!$C:$C,'Itaú CC'!$E:$E,$A15,'Itaú CC'!$F:$F,B$4,'Itaú CC'!$D:$D,"saída")+SUMIFS('Itaú Cartão'!$C:$C,'Itaú Cartão'!$E:$E,$A15,'Itaú Cartão'!$F:$F,B$4,'Itaú Cartão'!$D:$D,"saída")+SUMIFS('BTG Cartão'!$C:$C,'BTG Cartão'!$E:$E,$A15,'BTG Cartão'!$F:$F,B$4,'BTG Cartão'!$D:$D,"saída")),0)</f>
        <v/>
      </c>
      <c r="C15" s="6">
        <f>IFERROR(-(SUMIFS('Itaú CC'!$C:$C,'Itaú CC'!$E:$E,$A15,'Itaú CC'!$F:$F,C$4,'Itaú CC'!$D:$D,"saída")+SUMIFS('Itaú Cartão'!$C:$C,'Itaú Cartão'!$E:$E,$A15,'Itaú Cartão'!$F:$F,C$4,'Itaú Cartão'!$D:$D,"saída")+SUMIFS('BTG Cartão'!$C:$C,'BTG Cartão'!$E:$E,$A15,'BTG Cartão'!$F:$F,C$4,'BTG Cartão'!$D:$D,"saída")),0)</f>
        <v/>
      </c>
      <c r="D15" s="6">
        <f>IFERROR(-(SUMIFS('Itaú CC'!$C:$C,'Itaú CC'!$E:$E,$A15,'Itaú CC'!$F:$F,D$4,'Itaú CC'!$D:$D,"saída")+SUMIFS('Itaú Cartão'!$C:$C,'Itaú Cartão'!$E:$E,$A15,'Itaú Cartão'!$F:$F,D$4,'Itaú Cartão'!$D:$D,"saída")+SUMIFS('BTG Cartão'!$C:$C,'BTG Cartão'!$E:$E,$A15,'BTG Cartão'!$F:$F,D$4,'BTG Cartão'!$D:$D,"saída")),0)</f>
        <v/>
      </c>
      <c r="E15" s="6">
        <f>IFERROR(-(SUMIFS('Itaú CC'!$C:$C,'Itaú CC'!$E:$E,$A15,'Itaú CC'!$F:$F,E$4,'Itaú CC'!$D:$D,"saída")+SUMIFS('Itaú Cartão'!$C:$C,'Itaú Cartão'!$E:$E,$A15,'Itaú Cartão'!$F:$F,E$4,'Itaú Cartão'!$D:$D,"saída")+SUMIFS('BTG Cartão'!$C:$C,'BTG Cartão'!$E:$E,$A15,'BTG Cartão'!$F:$F,E$4,'BTG Cartão'!$D:$D,"saída")),0)</f>
        <v/>
      </c>
      <c r="F15" s="6">
        <f>IFERROR(-(SUMIFS('Itaú CC'!$C:$C,'Itaú CC'!$E:$E,$A15,'Itaú CC'!$F:$F,F$4,'Itaú CC'!$D:$D,"saída")+SUMIFS('Itaú Cartão'!$C:$C,'Itaú Cartão'!$E:$E,$A15,'Itaú Cartão'!$F:$F,F$4,'Itaú Cartão'!$D:$D,"saída")+SUMIFS('BTG Cartão'!$C:$C,'BTG Cartão'!$E:$E,$A15,'BTG Cartão'!$F:$F,F$4,'BTG Cartão'!$D:$D,"saída")),0)</f>
        <v/>
      </c>
      <c r="G15" s="6">
        <f>IFERROR(-(SUMIFS('Itaú CC'!$C:$C,'Itaú CC'!$E:$E,$A15,'Itaú CC'!$F:$F,G$4,'Itaú CC'!$D:$D,"saída")+SUMIFS('Itaú Cartão'!$C:$C,'Itaú Cartão'!$E:$E,$A15,'Itaú Cartão'!$F:$F,G$4,'Itaú Cartão'!$D:$D,"saída")+SUMIFS('BTG Cartão'!$C:$C,'BTG Cartão'!$E:$E,$A15,'BTG Cartão'!$F:$F,G$4,'BTG Cartão'!$D:$D,"saída")),0)</f>
        <v/>
      </c>
      <c r="H15" s="6">
        <f>IFERROR(-(SUMIFS('Itaú CC'!$C:$C,'Itaú CC'!$E:$E,$A15,'Itaú CC'!$F:$F,H$4,'Itaú CC'!$D:$D,"saída")+SUMIFS('Itaú Cartão'!$C:$C,'Itaú Cartão'!$E:$E,$A15,'Itaú Cartão'!$F:$F,H$4,'Itaú Cartão'!$D:$D,"saída")+SUMIFS('BTG Cartão'!$C:$C,'BTG Cartão'!$E:$E,$A15,'BTG Cartão'!$F:$F,H$4,'BTG Cartão'!$D:$D,"saída")),0)</f>
        <v/>
      </c>
      <c r="I15" s="6">
        <f>IFERROR(-(SUMIFS('Itaú CC'!$C:$C,'Itaú CC'!$E:$E,$A15,'Itaú CC'!$F:$F,I$4,'Itaú CC'!$D:$D,"saída")+SUMIFS('Itaú Cartão'!$C:$C,'Itaú Cartão'!$E:$E,$A15,'Itaú Cartão'!$F:$F,I$4,'Itaú Cartão'!$D:$D,"saída")+SUMIFS('BTG Cartão'!$C:$C,'BTG Cartão'!$E:$E,$A15,'BTG Cartão'!$F:$F,I$4,'BTG Cartão'!$D:$D,"saída")),0)</f>
        <v/>
      </c>
      <c r="J15" s="6">
        <f>IFERROR(-(SUMIFS('Itaú CC'!$C:$C,'Itaú CC'!$E:$E,$A15,'Itaú CC'!$F:$F,J$4,'Itaú CC'!$D:$D,"saída")+SUMIFS('Itaú Cartão'!$C:$C,'Itaú Cartão'!$E:$E,$A15,'Itaú Cartão'!$F:$F,J$4,'Itaú Cartão'!$D:$D,"saída")+SUMIFS('BTG Cartão'!$C:$C,'BTG Cartão'!$E:$E,$A15,'BTG Cartão'!$F:$F,J$4,'BTG Cartão'!$D:$D,"saída")),0)</f>
        <v/>
      </c>
      <c r="K15" s="7">
        <f>SUM(B15:J15)</f>
        <v/>
      </c>
    </row>
    <row r="16" ht="16" customHeight="1">
      <c r="A16" s="8" t="inlineStr">
        <is>
          <t>Fatura Cartão</t>
        </is>
      </c>
      <c r="B16" s="9">
        <f>IFERROR(-(SUMIFS('Itaú CC'!$C:$C,'Itaú CC'!$E:$E,$A16,'Itaú CC'!$F:$F,B$4,'Itaú CC'!$D:$D,"saída")+SUMIFS('Itaú Cartão'!$C:$C,'Itaú Cartão'!$E:$E,$A16,'Itaú Cartão'!$F:$F,B$4,'Itaú Cartão'!$D:$D,"saída")+SUMIFS('BTG Cartão'!$C:$C,'BTG Cartão'!$E:$E,$A16,'BTG Cartão'!$F:$F,B$4,'BTG Cartão'!$D:$D,"saída")),0)</f>
        <v/>
      </c>
      <c r="C16" s="9">
        <f>IFERROR(-(SUMIFS('Itaú CC'!$C:$C,'Itaú CC'!$E:$E,$A16,'Itaú CC'!$F:$F,C$4,'Itaú CC'!$D:$D,"saída")+SUMIFS('Itaú Cartão'!$C:$C,'Itaú Cartão'!$E:$E,$A16,'Itaú Cartão'!$F:$F,C$4,'Itaú Cartão'!$D:$D,"saída")+SUMIFS('BTG Cartão'!$C:$C,'BTG Cartão'!$E:$E,$A16,'BTG Cartão'!$F:$F,C$4,'BTG Cartão'!$D:$D,"saída")),0)</f>
        <v/>
      </c>
      <c r="D16" s="9">
        <f>IFERROR(-(SUMIFS('Itaú CC'!$C:$C,'Itaú CC'!$E:$E,$A16,'Itaú CC'!$F:$F,D$4,'Itaú CC'!$D:$D,"saída")+SUMIFS('Itaú Cartão'!$C:$C,'Itaú Cartão'!$E:$E,$A16,'Itaú Cartão'!$F:$F,D$4,'Itaú Cartão'!$D:$D,"saída")+SUMIFS('BTG Cartão'!$C:$C,'BTG Cartão'!$E:$E,$A16,'BTG Cartão'!$F:$F,D$4,'BTG Cartão'!$D:$D,"saída")),0)</f>
        <v/>
      </c>
      <c r="E16" s="9">
        <f>IFERROR(-(SUMIFS('Itaú CC'!$C:$C,'Itaú CC'!$E:$E,$A16,'Itaú CC'!$F:$F,E$4,'Itaú CC'!$D:$D,"saída")+SUMIFS('Itaú Cartão'!$C:$C,'Itaú Cartão'!$E:$E,$A16,'Itaú Cartão'!$F:$F,E$4,'Itaú Cartão'!$D:$D,"saída")+SUMIFS('BTG Cartão'!$C:$C,'BTG Cartão'!$E:$E,$A16,'BTG Cartão'!$F:$F,E$4,'BTG Cartão'!$D:$D,"saída")),0)</f>
        <v/>
      </c>
      <c r="F16" s="9">
        <f>IFERROR(-(SUMIFS('Itaú CC'!$C:$C,'Itaú CC'!$E:$E,$A16,'Itaú CC'!$F:$F,F$4,'Itaú CC'!$D:$D,"saída")+SUMIFS('Itaú Cartão'!$C:$C,'Itaú Cartão'!$E:$E,$A16,'Itaú Cartão'!$F:$F,F$4,'Itaú Cartão'!$D:$D,"saída")+SUMIFS('BTG Cartão'!$C:$C,'BTG Cartão'!$E:$E,$A16,'BTG Cartão'!$F:$F,F$4,'BTG Cartão'!$D:$D,"saída")),0)</f>
        <v/>
      </c>
      <c r="G16" s="9">
        <f>IFERROR(-(SUMIFS('Itaú CC'!$C:$C,'Itaú CC'!$E:$E,$A16,'Itaú CC'!$F:$F,G$4,'Itaú CC'!$D:$D,"saída")+SUMIFS('Itaú Cartão'!$C:$C,'Itaú Cartão'!$E:$E,$A16,'Itaú Cartão'!$F:$F,G$4,'Itaú Cartão'!$D:$D,"saída")+SUMIFS('BTG Cartão'!$C:$C,'BTG Cartão'!$E:$E,$A16,'BTG Cartão'!$F:$F,G$4,'BTG Cartão'!$D:$D,"saída")),0)</f>
        <v/>
      </c>
      <c r="H16" s="9">
        <f>IFERROR(-(SUMIFS('Itaú CC'!$C:$C,'Itaú CC'!$E:$E,$A16,'Itaú CC'!$F:$F,H$4,'Itaú CC'!$D:$D,"saída")+SUMIFS('Itaú Cartão'!$C:$C,'Itaú Cartão'!$E:$E,$A16,'Itaú Cartão'!$F:$F,H$4,'Itaú Cartão'!$D:$D,"saída")+SUMIFS('BTG Cartão'!$C:$C,'BTG Cartão'!$E:$E,$A16,'BTG Cartão'!$F:$F,H$4,'BTG Cartão'!$D:$D,"saída")),0)</f>
        <v/>
      </c>
      <c r="I16" s="9">
        <f>IFERROR(-(SUMIFS('Itaú CC'!$C:$C,'Itaú CC'!$E:$E,$A16,'Itaú CC'!$F:$F,I$4,'Itaú CC'!$D:$D,"saída")+SUMIFS('Itaú Cartão'!$C:$C,'Itaú Cartão'!$E:$E,$A16,'Itaú Cartão'!$F:$F,I$4,'Itaú Cartão'!$D:$D,"saída")+SUMIFS('BTG Cartão'!$C:$C,'BTG Cartão'!$E:$E,$A16,'BTG Cartão'!$F:$F,I$4,'BTG Cartão'!$D:$D,"saída")),0)</f>
        <v/>
      </c>
      <c r="J16" s="9">
        <f>IFERROR(-(SUMIFS('Itaú CC'!$C:$C,'Itaú CC'!$E:$E,$A16,'Itaú CC'!$F:$F,J$4,'Itaú CC'!$D:$D,"saída")+SUMIFS('Itaú Cartão'!$C:$C,'Itaú Cartão'!$E:$E,$A16,'Itaú Cartão'!$F:$F,J$4,'Itaú Cartão'!$D:$D,"saída")+SUMIFS('BTG Cartão'!$C:$C,'BTG Cartão'!$E:$E,$A16,'BTG Cartão'!$F:$F,J$4,'BTG Cartão'!$D:$D,"saída")),0)</f>
        <v/>
      </c>
      <c r="K16" s="10">
        <f>SUM(B16:J16)</f>
        <v/>
      </c>
    </row>
    <row r="17" ht="16" customHeight="1">
      <c r="A17" s="5" t="inlineStr">
        <is>
          <t>Fatura Cartão Azul</t>
        </is>
      </c>
      <c r="B17" s="6">
        <f>IFERROR(-(SUMIFS('Itaú CC'!$C:$C,'Itaú CC'!$E:$E,$A17,'Itaú CC'!$F:$F,B$4,'Itaú CC'!$D:$D,"saída")+SUMIFS('Itaú Cartão'!$C:$C,'Itaú Cartão'!$E:$E,$A17,'Itaú Cartão'!$F:$F,B$4,'Itaú Cartão'!$D:$D,"saída")+SUMIFS('BTG Cartão'!$C:$C,'BTG Cartão'!$E:$E,$A17,'BTG Cartão'!$F:$F,B$4,'BTG Cartão'!$D:$D,"saída")),0)</f>
        <v/>
      </c>
      <c r="C17" s="6">
        <f>IFERROR(-(SUMIFS('Itaú CC'!$C:$C,'Itaú CC'!$E:$E,$A17,'Itaú CC'!$F:$F,C$4,'Itaú CC'!$D:$D,"saída")+SUMIFS('Itaú Cartão'!$C:$C,'Itaú Cartão'!$E:$E,$A17,'Itaú Cartão'!$F:$F,C$4,'Itaú Cartão'!$D:$D,"saída")+SUMIFS('BTG Cartão'!$C:$C,'BTG Cartão'!$E:$E,$A17,'BTG Cartão'!$F:$F,C$4,'BTG Cartão'!$D:$D,"saída")),0)</f>
        <v/>
      </c>
      <c r="D17" s="6">
        <f>IFERROR(-(SUMIFS('Itaú CC'!$C:$C,'Itaú CC'!$E:$E,$A17,'Itaú CC'!$F:$F,D$4,'Itaú CC'!$D:$D,"saída")+SUMIFS('Itaú Cartão'!$C:$C,'Itaú Cartão'!$E:$E,$A17,'Itaú Cartão'!$F:$F,D$4,'Itaú Cartão'!$D:$D,"saída")+SUMIFS('BTG Cartão'!$C:$C,'BTG Cartão'!$E:$E,$A17,'BTG Cartão'!$F:$F,D$4,'BTG Cartão'!$D:$D,"saída")),0)</f>
        <v/>
      </c>
      <c r="E17" s="6">
        <f>IFERROR(-(SUMIFS('Itaú CC'!$C:$C,'Itaú CC'!$E:$E,$A17,'Itaú CC'!$F:$F,E$4,'Itaú CC'!$D:$D,"saída")+SUMIFS('Itaú Cartão'!$C:$C,'Itaú Cartão'!$E:$E,$A17,'Itaú Cartão'!$F:$F,E$4,'Itaú Cartão'!$D:$D,"saída")+SUMIFS('BTG Cartão'!$C:$C,'BTG Cartão'!$E:$E,$A17,'BTG Cartão'!$F:$F,E$4,'BTG Cartão'!$D:$D,"saída")),0)</f>
        <v/>
      </c>
      <c r="F17" s="6">
        <f>IFERROR(-(SUMIFS('Itaú CC'!$C:$C,'Itaú CC'!$E:$E,$A17,'Itaú CC'!$F:$F,F$4,'Itaú CC'!$D:$D,"saída")+SUMIFS('Itaú Cartão'!$C:$C,'Itaú Cartão'!$E:$E,$A17,'Itaú Cartão'!$F:$F,F$4,'Itaú Cartão'!$D:$D,"saída")+SUMIFS('BTG Cartão'!$C:$C,'BTG Cartão'!$E:$E,$A17,'BTG Cartão'!$F:$F,F$4,'BTG Cartão'!$D:$D,"saída")),0)</f>
        <v/>
      </c>
      <c r="G17" s="6">
        <f>IFERROR(-(SUMIFS('Itaú CC'!$C:$C,'Itaú CC'!$E:$E,$A17,'Itaú CC'!$F:$F,G$4,'Itaú CC'!$D:$D,"saída")+SUMIFS('Itaú Cartão'!$C:$C,'Itaú Cartão'!$E:$E,$A17,'Itaú Cartão'!$F:$F,G$4,'Itaú Cartão'!$D:$D,"saída")+SUMIFS('BTG Cartão'!$C:$C,'BTG Cartão'!$E:$E,$A17,'BTG Cartão'!$F:$F,G$4,'BTG Cartão'!$D:$D,"saída")),0)</f>
        <v/>
      </c>
      <c r="H17" s="6">
        <f>IFERROR(-(SUMIFS('Itaú CC'!$C:$C,'Itaú CC'!$E:$E,$A17,'Itaú CC'!$F:$F,H$4,'Itaú CC'!$D:$D,"saída")+SUMIFS('Itaú Cartão'!$C:$C,'Itaú Cartão'!$E:$E,$A17,'Itaú Cartão'!$F:$F,H$4,'Itaú Cartão'!$D:$D,"saída")+SUMIFS('BTG Cartão'!$C:$C,'BTG Cartão'!$E:$E,$A17,'BTG Cartão'!$F:$F,H$4,'BTG Cartão'!$D:$D,"saída")),0)</f>
        <v/>
      </c>
      <c r="I17" s="6">
        <f>IFERROR(-(SUMIFS('Itaú CC'!$C:$C,'Itaú CC'!$E:$E,$A17,'Itaú CC'!$F:$F,I$4,'Itaú CC'!$D:$D,"saída")+SUMIFS('Itaú Cartão'!$C:$C,'Itaú Cartão'!$E:$E,$A17,'Itaú Cartão'!$F:$F,I$4,'Itaú Cartão'!$D:$D,"saída")+SUMIFS('BTG Cartão'!$C:$C,'BTG Cartão'!$E:$E,$A17,'BTG Cartão'!$F:$F,I$4,'BTG Cartão'!$D:$D,"saída")),0)</f>
        <v/>
      </c>
      <c r="J17" s="6">
        <f>IFERROR(-(SUMIFS('Itaú CC'!$C:$C,'Itaú CC'!$E:$E,$A17,'Itaú CC'!$F:$F,J$4,'Itaú CC'!$D:$D,"saída")+SUMIFS('Itaú Cartão'!$C:$C,'Itaú Cartão'!$E:$E,$A17,'Itaú Cartão'!$F:$F,J$4,'Itaú Cartão'!$D:$D,"saída")+SUMIFS('BTG Cartão'!$C:$C,'BTG Cartão'!$E:$E,$A17,'BTG Cartão'!$F:$F,J$4,'BTG Cartão'!$D:$D,"saída")),0)</f>
        <v/>
      </c>
      <c r="K17" s="7">
        <f>SUM(B17:J17)</f>
        <v/>
      </c>
    </row>
    <row r="18" ht="16" customHeight="1">
      <c r="A18" s="8" t="inlineStr">
        <is>
          <t>Fatura Cartão Itaú</t>
        </is>
      </c>
      <c r="B18" s="9">
        <f>IFERROR(-(SUMIFS('Itaú CC'!$C:$C,'Itaú CC'!$E:$E,$A18,'Itaú CC'!$F:$F,B$4,'Itaú CC'!$D:$D,"saída")+SUMIFS('Itaú Cartão'!$C:$C,'Itaú Cartão'!$E:$E,$A18,'Itaú Cartão'!$F:$F,B$4,'Itaú Cartão'!$D:$D,"saída")+SUMIFS('BTG Cartão'!$C:$C,'BTG Cartão'!$E:$E,$A18,'BTG Cartão'!$F:$F,B$4,'BTG Cartão'!$D:$D,"saída")),0)</f>
        <v/>
      </c>
      <c r="C18" s="9">
        <f>IFERROR(-(SUMIFS('Itaú CC'!$C:$C,'Itaú CC'!$E:$E,$A18,'Itaú CC'!$F:$F,C$4,'Itaú CC'!$D:$D,"saída")+SUMIFS('Itaú Cartão'!$C:$C,'Itaú Cartão'!$E:$E,$A18,'Itaú Cartão'!$F:$F,C$4,'Itaú Cartão'!$D:$D,"saída")+SUMIFS('BTG Cartão'!$C:$C,'BTG Cartão'!$E:$E,$A18,'BTG Cartão'!$F:$F,C$4,'BTG Cartão'!$D:$D,"saída")),0)</f>
        <v/>
      </c>
      <c r="D18" s="9">
        <f>IFERROR(-(SUMIFS('Itaú CC'!$C:$C,'Itaú CC'!$E:$E,$A18,'Itaú CC'!$F:$F,D$4,'Itaú CC'!$D:$D,"saída")+SUMIFS('Itaú Cartão'!$C:$C,'Itaú Cartão'!$E:$E,$A18,'Itaú Cartão'!$F:$F,D$4,'Itaú Cartão'!$D:$D,"saída")+SUMIFS('BTG Cartão'!$C:$C,'BTG Cartão'!$E:$E,$A18,'BTG Cartão'!$F:$F,D$4,'BTG Cartão'!$D:$D,"saída")),0)</f>
        <v/>
      </c>
      <c r="E18" s="9">
        <f>IFERROR(-(SUMIFS('Itaú CC'!$C:$C,'Itaú CC'!$E:$E,$A18,'Itaú CC'!$F:$F,E$4,'Itaú CC'!$D:$D,"saída")+SUMIFS('Itaú Cartão'!$C:$C,'Itaú Cartão'!$E:$E,$A18,'Itaú Cartão'!$F:$F,E$4,'Itaú Cartão'!$D:$D,"saída")+SUMIFS('BTG Cartão'!$C:$C,'BTG Cartão'!$E:$E,$A18,'BTG Cartão'!$F:$F,E$4,'BTG Cartão'!$D:$D,"saída")),0)</f>
        <v/>
      </c>
      <c r="F18" s="9">
        <f>IFERROR(-(SUMIFS('Itaú CC'!$C:$C,'Itaú CC'!$E:$E,$A18,'Itaú CC'!$F:$F,F$4,'Itaú CC'!$D:$D,"saída")+SUMIFS('Itaú Cartão'!$C:$C,'Itaú Cartão'!$E:$E,$A18,'Itaú Cartão'!$F:$F,F$4,'Itaú Cartão'!$D:$D,"saída")+SUMIFS('BTG Cartão'!$C:$C,'BTG Cartão'!$E:$E,$A18,'BTG Cartão'!$F:$F,F$4,'BTG Cartão'!$D:$D,"saída")),0)</f>
        <v/>
      </c>
      <c r="G18" s="9">
        <f>IFERROR(-(SUMIFS('Itaú CC'!$C:$C,'Itaú CC'!$E:$E,$A18,'Itaú CC'!$F:$F,G$4,'Itaú CC'!$D:$D,"saída")+SUMIFS('Itaú Cartão'!$C:$C,'Itaú Cartão'!$E:$E,$A18,'Itaú Cartão'!$F:$F,G$4,'Itaú Cartão'!$D:$D,"saída")+SUMIFS('BTG Cartão'!$C:$C,'BTG Cartão'!$E:$E,$A18,'BTG Cartão'!$F:$F,G$4,'BTG Cartão'!$D:$D,"saída")),0)</f>
        <v/>
      </c>
      <c r="H18" s="9">
        <f>IFERROR(-(SUMIFS('Itaú CC'!$C:$C,'Itaú CC'!$E:$E,$A18,'Itaú CC'!$F:$F,H$4,'Itaú CC'!$D:$D,"saída")+SUMIFS('Itaú Cartão'!$C:$C,'Itaú Cartão'!$E:$E,$A18,'Itaú Cartão'!$F:$F,H$4,'Itaú Cartão'!$D:$D,"saída")+SUMIFS('BTG Cartão'!$C:$C,'BTG Cartão'!$E:$E,$A18,'BTG Cartão'!$F:$F,H$4,'BTG Cartão'!$D:$D,"saída")),0)</f>
        <v/>
      </c>
      <c r="I18" s="9">
        <f>IFERROR(-(SUMIFS('Itaú CC'!$C:$C,'Itaú CC'!$E:$E,$A18,'Itaú CC'!$F:$F,I$4,'Itaú CC'!$D:$D,"saída")+SUMIFS('Itaú Cartão'!$C:$C,'Itaú Cartão'!$E:$E,$A18,'Itaú Cartão'!$F:$F,I$4,'Itaú Cartão'!$D:$D,"saída")+SUMIFS('BTG Cartão'!$C:$C,'BTG Cartão'!$E:$E,$A18,'BTG Cartão'!$F:$F,I$4,'BTG Cartão'!$D:$D,"saída")),0)</f>
        <v/>
      </c>
      <c r="J18" s="9">
        <f>IFERROR(-(SUMIFS('Itaú CC'!$C:$C,'Itaú CC'!$E:$E,$A18,'Itaú CC'!$F:$F,J$4,'Itaú CC'!$D:$D,"saída")+SUMIFS('Itaú Cartão'!$C:$C,'Itaú Cartão'!$E:$E,$A18,'Itaú Cartão'!$F:$F,J$4,'Itaú Cartão'!$D:$D,"saída")+SUMIFS('BTG Cartão'!$C:$C,'BTG Cartão'!$E:$E,$A18,'BTG Cartão'!$F:$F,J$4,'BTG Cartão'!$D:$D,"saída")),0)</f>
        <v/>
      </c>
      <c r="K18" s="10">
        <f>SUM(B18:J18)</f>
        <v/>
      </c>
    </row>
    <row r="19" ht="16" customHeight="1">
      <c r="A19" s="5" t="inlineStr">
        <is>
          <t>IOF</t>
        </is>
      </c>
      <c r="B19" s="6">
        <f>IFERROR(-(SUMIFS('Itaú CC'!$C:$C,'Itaú CC'!$E:$E,$A19,'Itaú CC'!$F:$F,B$4,'Itaú CC'!$D:$D,"saída")+SUMIFS('Itaú Cartão'!$C:$C,'Itaú Cartão'!$E:$E,$A19,'Itaú Cartão'!$F:$F,B$4,'Itaú Cartão'!$D:$D,"saída")+SUMIFS('BTG Cartão'!$C:$C,'BTG Cartão'!$E:$E,$A19,'BTG Cartão'!$F:$F,B$4,'BTG Cartão'!$D:$D,"saída")),0)</f>
        <v/>
      </c>
      <c r="C19" s="6">
        <f>IFERROR(-(SUMIFS('Itaú CC'!$C:$C,'Itaú CC'!$E:$E,$A19,'Itaú CC'!$F:$F,C$4,'Itaú CC'!$D:$D,"saída")+SUMIFS('Itaú Cartão'!$C:$C,'Itaú Cartão'!$E:$E,$A19,'Itaú Cartão'!$F:$F,C$4,'Itaú Cartão'!$D:$D,"saída")+SUMIFS('BTG Cartão'!$C:$C,'BTG Cartão'!$E:$E,$A19,'BTG Cartão'!$F:$F,C$4,'BTG Cartão'!$D:$D,"saída")),0)</f>
        <v/>
      </c>
      <c r="D19" s="6">
        <f>IFERROR(-(SUMIFS('Itaú CC'!$C:$C,'Itaú CC'!$E:$E,$A19,'Itaú CC'!$F:$F,D$4,'Itaú CC'!$D:$D,"saída")+SUMIFS('Itaú Cartão'!$C:$C,'Itaú Cartão'!$E:$E,$A19,'Itaú Cartão'!$F:$F,D$4,'Itaú Cartão'!$D:$D,"saída")+SUMIFS('BTG Cartão'!$C:$C,'BTG Cartão'!$E:$E,$A19,'BTG Cartão'!$F:$F,D$4,'BTG Cartão'!$D:$D,"saída")),0)</f>
        <v/>
      </c>
      <c r="E19" s="6">
        <f>IFERROR(-(SUMIFS('Itaú CC'!$C:$C,'Itaú CC'!$E:$E,$A19,'Itaú CC'!$F:$F,E$4,'Itaú CC'!$D:$D,"saída")+SUMIFS('Itaú Cartão'!$C:$C,'Itaú Cartão'!$E:$E,$A19,'Itaú Cartão'!$F:$F,E$4,'Itaú Cartão'!$D:$D,"saída")+SUMIFS('BTG Cartão'!$C:$C,'BTG Cartão'!$E:$E,$A19,'BTG Cartão'!$F:$F,E$4,'BTG Cartão'!$D:$D,"saída")),0)</f>
        <v/>
      </c>
      <c r="F19" s="6">
        <f>IFERROR(-(SUMIFS('Itaú CC'!$C:$C,'Itaú CC'!$E:$E,$A19,'Itaú CC'!$F:$F,F$4,'Itaú CC'!$D:$D,"saída")+SUMIFS('Itaú Cartão'!$C:$C,'Itaú Cartão'!$E:$E,$A19,'Itaú Cartão'!$F:$F,F$4,'Itaú Cartão'!$D:$D,"saída")+SUMIFS('BTG Cartão'!$C:$C,'BTG Cartão'!$E:$E,$A19,'BTG Cartão'!$F:$F,F$4,'BTG Cartão'!$D:$D,"saída")),0)</f>
        <v/>
      </c>
      <c r="G19" s="6">
        <f>IFERROR(-(SUMIFS('Itaú CC'!$C:$C,'Itaú CC'!$E:$E,$A19,'Itaú CC'!$F:$F,G$4,'Itaú CC'!$D:$D,"saída")+SUMIFS('Itaú Cartão'!$C:$C,'Itaú Cartão'!$E:$E,$A19,'Itaú Cartão'!$F:$F,G$4,'Itaú Cartão'!$D:$D,"saída")+SUMIFS('BTG Cartão'!$C:$C,'BTG Cartão'!$E:$E,$A19,'BTG Cartão'!$F:$F,G$4,'BTG Cartão'!$D:$D,"saída")),0)</f>
        <v/>
      </c>
      <c r="H19" s="6">
        <f>IFERROR(-(SUMIFS('Itaú CC'!$C:$C,'Itaú CC'!$E:$E,$A19,'Itaú CC'!$F:$F,H$4,'Itaú CC'!$D:$D,"saída")+SUMIFS('Itaú Cartão'!$C:$C,'Itaú Cartão'!$E:$E,$A19,'Itaú Cartão'!$F:$F,H$4,'Itaú Cartão'!$D:$D,"saída")+SUMIFS('BTG Cartão'!$C:$C,'BTG Cartão'!$E:$E,$A19,'BTG Cartão'!$F:$F,H$4,'BTG Cartão'!$D:$D,"saída")),0)</f>
        <v/>
      </c>
      <c r="I19" s="6">
        <f>IFERROR(-(SUMIFS('Itaú CC'!$C:$C,'Itaú CC'!$E:$E,$A19,'Itaú CC'!$F:$F,I$4,'Itaú CC'!$D:$D,"saída")+SUMIFS('Itaú Cartão'!$C:$C,'Itaú Cartão'!$E:$E,$A19,'Itaú Cartão'!$F:$F,I$4,'Itaú Cartão'!$D:$D,"saída")+SUMIFS('BTG Cartão'!$C:$C,'BTG Cartão'!$E:$E,$A19,'BTG Cartão'!$F:$F,I$4,'BTG Cartão'!$D:$D,"saída")),0)</f>
        <v/>
      </c>
      <c r="J19" s="6">
        <f>IFERROR(-(SUMIFS('Itaú CC'!$C:$C,'Itaú CC'!$E:$E,$A19,'Itaú CC'!$F:$F,J$4,'Itaú CC'!$D:$D,"saída")+SUMIFS('Itaú Cartão'!$C:$C,'Itaú Cartão'!$E:$E,$A19,'Itaú Cartão'!$F:$F,J$4,'Itaú Cartão'!$D:$D,"saída")+SUMIFS('BTG Cartão'!$C:$C,'BTG Cartão'!$E:$E,$A19,'BTG Cartão'!$F:$F,J$4,'BTG Cartão'!$D:$D,"saída")),0)</f>
        <v/>
      </c>
      <c r="K19" s="7">
        <f>SUM(B19:J19)</f>
        <v/>
      </c>
    </row>
    <row r="20" ht="16" customHeight="1">
      <c r="A20" s="8" t="inlineStr">
        <is>
          <t>IPVA/Licenciamento</t>
        </is>
      </c>
      <c r="B20" s="9">
        <f>IFERROR(-(SUMIFS('Itaú CC'!$C:$C,'Itaú CC'!$E:$E,$A20,'Itaú CC'!$F:$F,B$4,'Itaú CC'!$D:$D,"saída")+SUMIFS('Itaú Cartão'!$C:$C,'Itaú Cartão'!$E:$E,$A20,'Itaú Cartão'!$F:$F,B$4,'Itaú Cartão'!$D:$D,"saída")+SUMIFS('BTG Cartão'!$C:$C,'BTG Cartão'!$E:$E,$A20,'BTG Cartão'!$F:$F,B$4,'BTG Cartão'!$D:$D,"saída")),0)</f>
        <v/>
      </c>
      <c r="C20" s="9">
        <f>IFERROR(-(SUMIFS('Itaú CC'!$C:$C,'Itaú CC'!$E:$E,$A20,'Itaú CC'!$F:$F,C$4,'Itaú CC'!$D:$D,"saída")+SUMIFS('Itaú Cartão'!$C:$C,'Itaú Cartão'!$E:$E,$A20,'Itaú Cartão'!$F:$F,C$4,'Itaú Cartão'!$D:$D,"saída")+SUMIFS('BTG Cartão'!$C:$C,'BTG Cartão'!$E:$E,$A20,'BTG Cartão'!$F:$F,C$4,'BTG Cartão'!$D:$D,"saída")),0)</f>
        <v/>
      </c>
      <c r="D20" s="9">
        <f>IFERROR(-(SUMIFS('Itaú CC'!$C:$C,'Itaú CC'!$E:$E,$A20,'Itaú CC'!$F:$F,D$4,'Itaú CC'!$D:$D,"saída")+SUMIFS('Itaú Cartão'!$C:$C,'Itaú Cartão'!$E:$E,$A20,'Itaú Cartão'!$F:$F,D$4,'Itaú Cartão'!$D:$D,"saída")+SUMIFS('BTG Cartão'!$C:$C,'BTG Cartão'!$E:$E,$A20,'BTG Cartão'!$F:$F,D$4,'BTG Cartão'!$D:$D,"saída")),0)</f>
        <v/>
      </c>
      <c r="E20" s="9">
        <f>IFERROR(-(SUMIFS('Itaú CC'!$C:$C,'Itaú CC'!$E:$E,$A20,'Itaú CC'!$F:$F,E$4,'Itaú CC'!$D:$D,"saída")+SUMIFS('Itaú Cartão'!$C:$C,'Itaú Cartão'!$E:$E,$A20,'Itaú Cartão'!$F:$F,E$4,'Itaú Cartão'!$D:$D,"saída")+SUMIFS('BTG Cartão'!$C:$C,'BTG Cartão'!$E:$E,$A20,'BTG Cartão'!$F:$F,E$4,'BTG Cartão'!$D:$D,"saída")),0)</f>
        <v/>
      </c>
      <c r="F20" s="9">
        <f>IFERROR(-(SUMIFS('Itaú CC'!$C:$C,'Itaú CC'!$E:$E,$A20,'Itaú CC'!$F:$F,F$4,'Itaú CC'!$D:$D,"saída")+SUMIFS('Itaú Cartão'!$C:$C,'Itaú Cartão'!$E:$E,$A20,'Itaú Cartão'!$F:$F,F$4,'Itaú Cartão'!$D:$D,"saída")+SUMIFS('BTG Cartão'!$C:$C,'BTG Cartão'!$E:$E,$A20,'BTG Cartão'!$F:$F,F$4,'BTG Cartão'!$D:$D,"saída")),0)</f>
        <v/>
      </c>
      <c r="G20" s="9">
        <f>IFERROR(-(SUMIFS('Itaú CC'!$C:$C,'Itaú CC'!$E:$E,$A20,'Itaú CC'!$F:$F,G$4,'Itaú CC'!$D:$D,"saída")+SUMIFS('Itaú Cartão'!$C:$C,'Itaú Cartão'!$E:$E,$A20,'Itaú Cartão'!$F:$F,G$4,'Itaú Cartão'!$D:$D,"saída")+SUMIFS('BTG Cartão'!$C:$C,'BTG Cartão'!$E:$E,$A20,'BTG Cartão'!$F:$F,G$4,'BTG Cartão'!$D:$D,"saída")),0)</f>
        <v/>
      </c>
      <c r="H20" s="9">
        <f>IFERROR(-(SUMIFS('Itaú CC'!$C:$C,'Itaú CC'!$E:$E,$A20,'Itaú CC'!$F:$F,H$4,'Itaú CC'!$D:$D,"saída")+SUMIFS('Itaú Cartão'!$C:$C,'Itaú Cartão'!$E:$E,$A20,'Itaú Cartão'!$F:$F,H$4,'Itaú Cartão'!$D:$D,"saída")+SUMIFS('BTG Cartão'!$C:$C,'BTG Cartão'!$E:$E,$A20,'BTG Cartão'!$F:$F,H$4,'BTG Cartão'!$D:$D,"saída")),0)</f>
        <v/>
      </c>
      <c r="I20" s="9">
        <f>IFERROR(-(SUMIFS('Itaú CC'!$C:$C,'Itaú CC'!$E:$E,$A20,'Itaú CC'!$F:$F,I$4,'Itaú CC'!$D:$D,"saída")+SUMIFS('Itaú Cartão'!$C:$C,'Itaú Cartão'!$E:$E,$A20,'Itaú Cartão'!$F:$F,I$4,'Itaú Cartão'!$D:$D,"saída")+SUMIFS('BTG Cartão'!$C:$C,'BTG Cartão'!$E:$E,$A20,'BTG Cartão'!$F:$F,I$4,'BTG Cartão'!$D:$D,"saída")),0)</f>
        <v/>
      </c>
      <c r="J20" s="9">
        <f>IFERROR(-(SUMIFS('Itaú CC'!$C:$C,'Itaú CC'!$E:$E,$A20,'Itaú CC'!$F:$F,J$4,'Itaú CC'!$D:$D,"saída")+SUMIFS('Itaú Cartão'!$C:$C,'Itaú Cartão'!$E:$E,$A20,'Itaú Cartão'!$F:$F,J$4,'Itaú Cartão'!$D:$D,"saída")+SUMIFS('BTG Cartão'!$C:$C,'BTG Cartão'!$E:$E,$A20,'BTG Cartão'!$F:$F,J$4,'BTG Cartão'!$D:$D,"saída")),0)</f>
        <v/>
      </c>
      <c r="K20" s="10">
        <f>SUM(B20:J20)</f>
        <v/>
      </c>
    </row>
    <row r="21" ht="16" customHeight="1">
      <c r="A21" s="5" t="inlineStr">
        <is>
          <t>Obra/Reforma</t>
        </is>
      </c>
      <c r="B21" s="6">
        <f>IFERROR(-(SUMIFS('Itaú CC'!$C:$C,'Itaú CC'!$E:$E,$A21,'Itaú CC'!$F:$F,B$4,'Itaú CC'!$D:$D,"saída")+SUMIFS('Itaú Cartão'!$C:$C,'Itaú Cartão'!$E:$E,$A21,'Itaú Cartão'!$F:$F,B$4,'Itaú Cartão'!$D:$D,"saída")+SUMIFS('BTG Cartão'!$C:$C,'BTG Cartão'!$E:$E,$A21,'BTG Cartão'!$F:$F,B$4,'BTG Cartão'!$D:$D,"saída")),0)</f>
        <v/>
      </c>
      <c r="C21" s="6">
        <f>IFERROR(-(SUMIFS('Itaú CC'!$C:$C,'Itaú CC'!$E:$E,$A21,'Itaú CC'!$F:$F,C$4,'Itaú CC'!$D:$D,"saída")+SUMIFS('Itaú Cartão'!$C:$C,'Itaú Cartão'!$E:$E,$A21,'Itaú Cartão'!$F:$F,C$4,'Itaú Cartão'!$D:$D,"saída")+SUMIFS('BTG Cartão'!$C:$C,'BTG Cartão'!$E:$E,$A21,'BTG Cartão'!$F:$F,C$4,'BTG Cartão'!$D:$D,"saída")),0)</f>
        <v/>
      </c>
      <c r="D21" s="6">
        <f>IFERROR(-(SUMIFS('Itaú CC'!$C:$C,'Itaú CC'!$E:$E,$A21,'Itaú CC'!$F:$F,D$4,'Itaú CC'!$D:$D,"saída")+SUMIFS('Itaú Cartão'!$C:$C,'Itaú Cartão'!$E:$E,$A21,'Itaú Cartão'!$F:$F,D$4,'Itaú Cartão'!$D:$D,"saída")+SUMIFS('BTG Cartão'!$C:$C,'BTG Cartão'!$E:$E,$A21,'BTG Cartão'!$F:$F,D$4,'BTG Cartão'!$D:$D,"saída")),0)</f>
        <v/>
      </c>
      <c r="E21" s="6">
        <f>IFERROR(-(SUMIFS('Itaú CC'!$C:$C,'Itaú CC'!$E:$E,$A21,'Itaú CC'!$F:$F,E$4,'Itaú CC'!$D:$D,"saída")+SUMIFS('Itaú Cartão'!$C:$C,'Itaú Cartão'!$E:$E,$A21,'Itaú Cartão'!$F:$F,E$4,'Itaú Cartão'!$D:$D,"saída")+SUMIFS('BTG Cartão'!$C:$C,'BTG Cartão'!$E:$E,$A21,'BTG Cartão'!$F:$F,E$4,'BTG Cartão'!$D:$D,"saída")),0)</f>
        <v/>
      </c>
      <c r="F21" s="6">
        <f>IFERROR(-(SUMIFS('Itaú CC'!$C:$C,'Itaú CC'!$E:$E,$A21,'Itaú CC'!$F:$F,F$4,'Itaú CC'!$D:$D,"saída")+SUMIFS('Itaú Cartão'!$C:$C,'Itaú Cartão'!$E:$E,$A21,'Itaú Cartão'!$F:$F,F$4,'Itaú Cartão'!$D:$D,"saída")+SUMIFS('BTG Cartão'!$C:$C,'BTG Cartão'!$E:$E,$A21,'BTG Cartão'!$F:$F,F$4,'BTG Cartão'!$D:$D,"saída")),0)</f>
        <v/>
      </c>
      <c r="G21" s="6">
        <f>IFERROR(-(SUMIFS('Itaú CC'!$C:$C,'Itaú CC'!$E:$E,$A21,'Itaú CC'!$F:$F,G$4,'Itaú CC'!$D:$D,"saída")+SUMIFS('Itaú Cartão'!$C:$C,'Itaú Cartão'!$E:$E,$A21,'Itaú Cartão'!$F:$F,G$4,'Itaú Cartão'!$D:$D,"saída")+SUMIFS('BTG Cartão'!$C:$C,'BTG Cartão'!$E:$E,$A21,'BTG Cartão'!$F:$F,G$4,'BTG Cartão'!$D:$D,"saída")),0)</f>
        <v/>
      </c>
      <c r="H21" s="6">
        <f>IFERROR(-(SUMIFS('Itaú CC'!$C:$C,'Itaú CC'!$E:$E,$A21,'Itaú CC'!$F:$F,H$4,'Itaú CC'!$D:$D,"saída")+SUMIFS('Itaú Cartão'!$C:$C,'Itaú Cartão'!$E:$E,$A21,'Itaú Cartão'!$F:$F,H$4,'Itaú Cartão'!$D:$D,"saída")+SUMIFS('BTG Cartão'!$C:$C,'BTG Cartão'!$E:$E,$A21,'BTG Cartão'!$F:$F,H$4,'BTG Cartão'!$D:$D,"saída")),0)</f>
        <v/>
      </c>
      <c r="I21" s="6">
        <f>IFERROR(-(SUMIFS('Itaú CC'!$C:$C,'Itaú CC'!$E:$E,$A21,'Itaú CC'!$F:$F,I$4,'Itaú CC'!$D:$D,"saída")+SUMIFS('Itaú Cartão'!$C:$C,'Itaú Cartão'!$E:$E,$A21,'Itaú Cartão'!$F:$F,I$4,'Itaú Cartão'!$D:$D,"saída")+SUMIFS('BTG Cartão'!$C:$C,'BTG Cartão'!$E:$E,$A21,'BTG Cartão'!$F:$F,I$4,'BTG Cartão'!$D:$D,"saída")),0)</f>
        <v/>
      </c>
      <c r="J21" s="6">
        <f>IFERROR(-(SUMIFS('Itaú CC'!$C:$C,'Itaú CC'!$E:$E,$A21,'Itaú CC'!$F:$F,J$4,'Itaú CC'!$D:$D,"saída")+SUMIFS('Itaú Cartão'!$C:$C,'Itaú Cartão'!$E:$E,$A21,'Itaú Cartão'!$F:$F,J$4,'Itaú Cartão'!$D:$D,"saída")+SUMIFS('BTG Cartão'!$C:$C,'BTG Cartão'!$E:$E,$A21,'BTG Cartão'!$F:$F,J$4,'BTG Cartão'!$D:$D,"saída")),0)</f>
        <v/>
      </c>
      <c r="K21" s="7">
        <f>SUM(B21:J21)</f>
        <v/>
      </c>
    </row>
    <row r="22" ht="16" customHeight="1">
      <c r="A22" s="8" t="inlineStr">
        <is>
          <t>Outros</t>
        </is>
      </c>
      <c r="B22" s="9">
        <f>IFERROR(-(SUMIFS('Itaú CC'!$C:$C,'Itaú CC'!$E:$E,$A22,'Itaú CC'!$F:$F,B$4,'Itaú CC'!$D:$D,"saída")+SUMIFS('Itaú Cartão'!$C:$C,'Itaú Cartão'!$E:$E,$A22,'Itaú Cartão'!$F:$F,B$4,'Itaú Cartão'!$D:$D,"saída")+SUMIFS('BTG Cartão'!$C:$C,'BTG Cartão'!$E:$E,$A22,'BTG Cartão'!$F:$F,B$4,'BTG Cartão'!$D:$D,"saída")),0)</f>
        <v/>
      </c>
      <c r="C22" s="9">
        <f>IFERROR(-(SUMIFS('Itaú CC'!$C:$C,'Itaú CC'!$E:$E,$A22,'Itaú CC'!$F:$F,C$4,'Itaú CC'!$D:$D,"saída")+SUMIFS('Itaú Cartão'!$C:$C,'Itaú Cartão'!$E:$E,$A22,'Itaú Cartão'!$F:$F,C$4,'Itaú Cartão'!$D:$D,"saída")+SUMIFS('BTG Cartão'!$C:$C,'BTG Cartão'!$E:$E,$A22,'BTG Cartão'!$F:$F,C$4,'BTG Cartão'!$D:$D,"saída")),0)</f>
        <v/>
      </c>
      <c r="D22" s="9">
        <f>IFERROR(-(SUMIFS('Itaú CC'!$C:$C,'Itaú CC'!$E:$E,$A22,'Itaú CC'!$F:$F,D$4,'Itaú CC'!$D:$D,"saída")+SUMIFS('Itaú Cartão'!$C:$C,'Itaú Cartão'!$E:$E,$A22,'Itaú Cartão'!$F:$F,D$4,'Itaú Cartão'!$D:$D,"saída")+SUMIFS('BTG Cartão'!$C:$C,'BTG Cartão'!$E:$E,$A22,'BTG Cartão'!$F:$F,D$4,'BTG Cartão'!$D:$D,"saída")),0)</f>
        <v/>
      </c>
      <c r="E22" s="9">
        <f>IFERROR(-(SUMIFS('Itaú CC'!$C:$C,'Itaú CC'!$E:$E,$A22,'Itaú CC'!$F:$F,E$4,'Itaú CC'!$D:$D,"saída")+SUMIFS('Itaú Cartão'!$C:$C,'Itaú Cartão'!$E:$E,$A22,'Itaú Cartão'!$F:$F,E$4,'Itaú Cartão'!$D:$D,"saída")+SUMIFS('BTG Cartão'!$C:$C,'BTG Cartão'!$E:$E,$A22,'BTG Cartão'!$F:$F,E$4,'BTG Cartão'!$D:$D,"saída")),0)</f>
        <v/>
      </c>
      <c r="F22" s="9">
        <f>IFERROR(-(SUMIFS('Itaú CC'!$C:$C,'Itaú CC'!$E:$E,$A22,'Itaú CC'!$F:$F,F$4,'Itaú CC'!$D:$D,"saída")+SUMIFS('Itaú Cartão'!$C:$C,'Itaú Cartão'!$E:$E,$A22,'Itaú Cartão'!$F:$F,F$4,'Itaú Cartão'!$D:$D,"saída")+SUMIFS('BTG Cartão'!$C:$C,'BTG Cartão'!$E:$E,$A22,'BTG Cartão'!$F:$F,F$4,'BTG Cartão'!$D:$D,"saída")),0)</f>
        <v/>
      </c>
      <c r="G22" s="9">
        <f>IFERROR(-(SUMIFS('Itaú CC'!$C:$C,'Itaú CC'!$E:$E,$A22,'Itaú CC'!$F:$F,G$4,'Itaú CC'!$D:$D,"saída")+SUMIFS('Itaú Cartão'!$C:$C,'Itaú Cartão'!$E:$E,$A22,'Itaú Cartão'!$F:$F,G$4,'Itaú Cartão'!$D:$D,"saída")+SUMIFS('BTG Cartão'!$C:$C,'BTG Cartão'!$E:$E,$A22,'BTG Cartão'!$F:$F,G$4,'BTG Cartão'!$D:$D,"saída")),0)</f>
        <v/>
      </c>
      <c r="H22" s="9">
        <f>IFERROR(-(SUMIFS('Itaú CC'!$C:$C,'Itaú CC'!$E:$E,$A22,'Itaú CC'!$F:$F,H$4,'Itaú CC'!$D:$D,"saída")+SUMIFS('Itaú Cartão'!$C:$C,'Itaú Cartão'!$E:$E,$A22,'Itaú Cartão'!$F:$F,H$4,'Itaú Cartão'!$D:$D,"saída")+SUMIFS('BTG Cartão'!$C:$C,'BTG Cartão'!$E:$E,$A22,'BTG Cartão'!$F:$F,H$4,'BTG Cartão'!$D:$D,"saída")),0)</f>
        <v/>
      </c>
      <c r="I22" s="9">
        <f>IFERROR(-(SUMIFS('Itaú CC'!$C:$C,'Itaú CC'!$E:$E,$A22,'Itaú CC'!$F:$F,I$4,'Itaú CC'!$D:$D,"saída")+SUMIFS('Itaú Cartão'!$C:$C,'Itaú Cartão'!$E:$E,$A22,'Itaú Cartão'!$F:$F,I$4,'Itaú Cartão'!$D:$D,"saída")+SUMIFS('BTG Cartão'!$C:$C,'BTG Cartão'!$E:$E,$A22,'BTG Cartão'!$F:$F,I$4,'BTG Cartão'!$D:$D,"saída")),0)</f>
        <v/>
      </c>
      <c r="J22" s="9">
        <f>IFERROR(-(SUMIFS('Itaú CC'!$C:$C,'Itaú CC'!$E:$E,$A22,'Itaú CC'!$F:$F,J$4,'Itaú CC'!$D:$D,"saída")+SUMIFS('Itaú Cartão'!$C:$C,'Itaú Cartão'!$E:$E,$A22,'Itaú Cartão'!$F:$F,J$4,'Itaú Cartão'!$D:$D,"saída")+SUMIFS('BTG Cartão'!$C:$C,'BTG Cartão'!$E:$E,$A22,'BTG Cartão'!$F:$F,J$4,'BTG Cartão'!$D:$D,"saída")),0)</f>
        <v/>
      </c>
      <c r="K22" s="10">
        <f>SUM(B22:J22)</f>
        <v/>
      </c>
    </row>
    <row r="23" ht="16" customHeight="1">
      <c r="A23" s="5" t="inlineStr">
        <is>
          <t>Personal Trainer</t>
        </is>
      </c>
      <c r="B23" s="6">
        <f>IFERROR(-(SUMIFS('Itaú CC'!$C:$C,'Itaú CC'!$E:$E,$A23,'Itaú CC'!$F:$F,B$4,'Itaú CC'!$D:$D,"saída")+SUMIFS('Itaú Cartão'!$C:$C,'Itaú Cartão'!$E:$E,$A23,'Itaú Cartão'!$F:$F,B$4,'Itaú Cartão'!$D:$D,"saída")+SUMIFS('BTG Cartão'!$C:$C,'BTG Cartão'!$E:$E,$A23,'BTG Cartão'!$F:$F,B$4,'BTG Cartão'!$D:$D,"saída")),0)</f>
        <v/>
      </c>
      <c r="C23" s="6">
        <f>IFERROR(-(SUMIFS('Itaú CC'!$C:$C,'Itaú CC'!$E:$E,$A23,'Itaú CC'!$F:$F,C$4,'Itaú CC'!$D:$D,"saída")+SUMIFS('Itaú Cartão'!$C:$C,'Itaú Cartão'!$E:$E,$A23,'Itaú Cartão'!$F:$F,C$4,'Itaú Cartão'!$D:$D,"saída")+SUMIFS('BTG Cartão'!$C:$C,'BTG Cartão'!$E:$E,$A23,'BTG Cartão'!$F:$F,C$4,'BTG Cartão'!$D:$D,"saída")),0)</f>
        <v/>
      </c>
      <c r="D23" s="6">
        <f>IFERROR(-(SUMIFS('Itaú CC'!$C:$C,'Itaú CC'!$E:$E,$A23,'Itaú CC'!$F:$F,D$4,'Itaú CC'!$D:$D,"saída")+SUMIFS('Itaú Cartão'!$C:$C,'Itaú Cartão'!$E:$E,$A23,'Itaú Cartão'!$F:$F,D$4,'Itaú Cartão'!$D:$D,"saída")+SUMIFS('BTG Cartão'!$C:$C,'BTG Cartão'!$E:$E,$A23,'BTG Cartão'!$F:$F,D$4,'BTG Cartão'!$D:$D,"saída")),0)</f>
        <v/>
      </c>
      <c r="E23" s="6">
        <f>IFERROR(-(SUMIFS('Itaú CC'!$C:$C,'Itaú CC'!$E:$E,$A23,'Itaú CC'!$F:$F,E$4,'Itaú CC'!$D:$D,"saída")+SUMIFS('Itaú Cartão'!$C:$C,'Itaú Cartão'!$E:$E,$A23,'Itaú Cartão'!$F:$F,E$4,'Itaú Cartão'!$D:$D,"saída")+SUMIFS('BTG Cartão'!$C:$C,'BTG Cartão'!$E:$E,$A23,'BTG Cartão'!$F:$F,E$4,'BTG Cartão'!$D:$D,"saída")),0)</f>
        <v/>
      </c>
      <c r="F23" s="6">
        <f>IFERROR(-(SUMIFS('Itaú CC'!$C:$C,'Itaú CC'!$E:$E,$A23,'Itaú CC'!$F:$F,F$4,'Itaú CC'!$D:$D,"saída")+SUMIFS('Itaú Cartão'!$C:$C,'Itaú Cartão'!$E:$E,$A23,'Itaú Cartão'!$F:$F,F$4,'Itaú Cartão'!$D:$D,"saída")+SUMIFS('BTG Cartão'!$C:$C,'BTG Cartão'!$E:$E,$A23,'BTG Cartão'!$F:$F,F$4,'BTG Cartão'!$D:$D,"saída")),0)</f>
        <v/>
      </c>
      <c r="G23" s="6">
        <f>IFERROR(-(SUMIFS('Itaú CC'!$C:$C,'Itaú CC'!$E:$E,$A23,'Itaú CC'!$F:$F,G$4,'Itaú CC'!$D:$D,"saída")+SUMIFS('Itaú Cartão'!$C:$C,'Itaú Cartão'!$E:$E,$A23,'Itaú Cartão'!$F:$F,G$4,'Itaú Cartão'!$D:$D,"saída")+SUMIFS('BTG Cartão'!$C:$C,'BTG Cartão'!$E:$E,$A23,'BTG Cartão'!$F:$F,G$4,'BTG Cartão'!$D:$D,"saída")),0)</f>
        <v/>
      </c>
      <c r="H23" s="6">
        <f>IFERROR(-(SUMIFS('Itaú CC'!$C:$C,'Itaú CC'!$E:$E,$A23,'Itaú CC'!$F:$F,H$4,'Itaú CC'!$D:$D,"saída")+SUMIFS('Itaú Cartão'!$C:$C,'Itaú Cartão'!$E:$E,$A23,'Itaú Cartão'!$F:$F,H$4,'Itaú Cartão'!$D:$D,"saída")+SUMIFS('BTG Cartão'!$C:$C,'BTG Cartão'!$E:$E,$A23,'BTG Cartão'!$F:$F,H$4,'BTG Cartão'!$D:$D,"saída")),0)</f>
        <v/>
      </c>
      <c r="I23" s="6">
        <f>IFERROR(-(SUMIFS('Itaú CC'!$C:$C,'Itaú CC'!$E:$E,$A23,'Itaú CC'!$F:$F,I$4,'Itaú CC'!$D:$D,"saída")+SUMIFS('Itaú Cartão'!$C:$C,'Itaú Cartão'!$E:$E,$A23,'Itaú Cartão'!$F:$F,I$4,'Itaú Cartão'!$D:$D,"saída")+SUMIFS('BTG Cartão'!$C:$C,'BTG Cartão'!$E:$E,$A23,'BTG Cartão'!$F:$F,I$4,'BTG Cartão'!$D:$D,"saída")),0)</f>
        <v/>
      </c>
      <c r="J23" s="6">
        <f>IFERROR(-(SUMIFS('Itaú CC'!$C:$C,'Itaú CC'!$E:$E,$A23,'Itaú CC'!$F:$F,J$4,'Itaú CC'!$D:$D,"saída")+SUMIFS('Itaú Cartão'!$C:$C,'Itaú Cartão'!$E:$E,$A23,'Itaú Cartão'!$F:$F,J$4,'Itaú Cartão'!$D:$D,"saída")+SUMIFS('BTG Cartão'!$C:$C,'BTG Cartão'!$E:$E,$A23,'BTG Cartão'!$F:$F,J$4,'BTG Cartão'!$D:$D,"saída")),0)</f>
        <v/>
      </c>
      <c r="K23" s="7">
        <f>SUM(B23:J23)</f>
        <v/>
      </c>
    </row>
    <row r="24" ht="16" customHeight="1">
      <c r="A24" s="8" t="inlineStr">
        <is>
          <t>Previdência</t>
        </is>
      </c>
      <c r="B24" s="9">
        <f>IFERROR(-(SUMIFS('Itaú CC'!$C:$C,'Itaú CC'!$E:$E,$A24,'Itaú CC'!$F:$F,B$4,'Itaú CC'!$D:$D,"saída")+SUMIFS('Itaú Cartão'!$C:$C,'Itaú Cartão'!$E:$E,$A24,'Itaú Cartão'!$F:$F,B$4,'Itaú Cartão'!$D:$D,"saída")+SUMIFS('BTG Cartão'!$C:$C,'BTG Cartão'!$E:$E,$A24,'BTG Cartão'!$F:$F,B$4,'BTG Cartão'!$D:$D,"saída")),0)</f>
        <v/>
      </c>
      <c r="C24" s="9">
        <f>IFERROR(-(SUMIFS('Itaú CC'!$C:$C,'Itaú CC'!$E:$E,$A24,'Itaú CC'!$F:$F,C$4,'Itaú CC'!$D:$D,"saída")+SUMIFS('Itaú Cartão'!$C:$C,'Itaú Cartão'!$E:$E,$A24,'Itaú Cartão'!$F:$F,C$4,'Itaú Cartão'!$D:$D,"saída")+SUMIFS('BTG Cartão'!$C:$C,'BTG Cartão'!$E:$E,$A24,'BTG Cartão'!$F:$F,C$4,'BTG Cartão'!$D:$D,"saída")),0)</f>
        <v/>
      </c>
      <c r="D24" s="9">
        <f>IFERROR(-(SUMIFS('Itaú CC'!$C:$C,'Itaú CC'!$E:$E,$A24,'Itaú CC'!$F:$F,D$4,'Itaú CC'!$D:$D,"saída")+SUMIFS('Itaú Cartão'!$C:$C,'Itaú Cartão'!$E:$E,$A24,'Itaú Cartão'!$F:$F,D$4,'Itaú Cartão'!$D:$D,"saída")+SUMIFS('BTG Cartão'!$C:$C,'BTG Cartão'!$E:$E,$A24,'BTG Cartão'!$F:$F,D$4,'BTG Cartão'!$D:$D,"saída")),0)</f>
        <v/>
      </c>
      <c r="E24" s="9">
        <f>IFERROR(-(SUMIFS('Itaú CC'!$C:$C,'Itaú CC'!$E:$E,$A24,'Itaú CC'!$F:$F,E$4,'Itaú CC'!$D:$D,"saída")+SUMIFS('Itaú Cartão'!$C:$C,'Itaú Cartão'!$E:$E,$A24,'Itaú Cartão'!$F:$F,E$4,'Itaú Cartão'!$D:$D,"saída")+SUMIFS('BTG Cartão'!$C:$C,'BTG Cartão'!$E:$E,$A24,'BTG Cartão'!$F:$F,E$4,'BTG Cartão'!$D:$D,"saída")),0)</f>
        <v/>
      </c>
      <c r="F24" s="9">
        <f>IFERROR(-(SUMIFS('Itaú CC'!$C:$C,'Itaú CC'!$E:$E,$A24,'Itaú CC'!$F:$F,F$4,'Itaú CC'!$D:$D,"saída")+SUMIFS('Itaú Cartão'!$C:$C,'Itaú Cartão'!$E:$E,$A24,'Itaú Cartão'!$F:$F,F$4,'Itaú Cartão'!$D:$D,"saída")+SUMIFS('BTG Cartão'!$C:$C,'BTG Cartão'!$E:$E,$A24,'BTG Cartão'!$F:$F,F$4,'BTG Cartão'!$D:$D,"saída")),0)</f>
        <v/>
      </c>
      <c r="G24" s="9">
        <f>IFERROR(-(SUMIFS('Itaú CC'!$C:$C,'Itaú CC'!$E:$E,$A24,'Itaú CC'!$F:$F,G$4,'Itaú CC'!$D:$D,"saída")+SUMIFS('Itaú Cartão'!$C:$C,'Itaú Cartão'!$E:$E,$A24,'Itaú Cartão'!$F:$F,G$4,'Itaú Cartão'!$D:$D,"saída")+SUMIFS('BTG Cartão'!$C:$C,'BTG Cartão'!$E:$E,$A24,'BTG Cartão'!$F:$F,G$4,'BTG Cartão'!$D:$D,"saída")),0)</f>
        <v/>
      </c>
      <c r="H24" s="9">
        <f>IFERROR(-(SUMIFS('Itaú CC'!$C:$C,'Itaú CC'!$E:$E,$A24,'Itaú CC'!$F:$F,H$4,'Itaú CC'!$D:$D,"saída")+SUMIFS('Itaú Cartão'!$C:$C,'Itaú Cartão'!$E:$E,$A24,'Itaú Cartão'!$F:$F,H$4,'Itaú Cartão'!$D:$D,"saída")+SUMIFS('BTG Cartão'!$C:$C,'BTG Cartão'!$E:$E,$A24,'BTG Cartão'!$F:$F,H$4,'BTG Cartão'!$D:$D,"saída")),0)</f>
        <v/>
      </c>
      <c r="I24" s="9">
        <f>IFERROR(-(SUMIFS('Itaú CC'!$C:$C,'Itaú CC'!$E:$E,$A24,'Itaú CC'!$F:$F,I$4,'Itaú CC'!$D:$D,"saída")+SUMIFS('Itaú Cartão'!$C:$C,'Itaú Cartão'!$E:$E,$A24,'Itaú Cartão'!$F:$F,I$4,'Itaú Cartão'!$D:$D,"saída")+SUMIFS('BTG Cartão'!$C:$C,'BTG Cartão'!$E:$E,$A24,'BTG Cartão'!$F:$F,I$4,'BTG Cartão'!$D:$D,"saída")),0)</f>
        <v/>
      </c>
      <c r="J24" s="9">
        <f>IFERROR(-(SUMIFS('Itaú CC'!$C:$C,'Itaú CC'!$E:$E,$A24,'Itaú CC'!$F:$F,J$4,'Itaú CC'!$D:$D,"saída")+SUMIFS('Itaú Cartão'!$C:$C,'Itaú Cartão'!$E:$E,$A24,'Itaú Cartão'!$F:$F,J$4,'Itaú Cartão'!$D:$D,"saída")+SUMIFS('BTG Cartão'!$C:$C,'BTG Cartão'!$E:$E,$A24,'BTG Cartão'!$F:$F,J$4,'BTG Cartão'!$D:$D,"saída")),0)</f>
        <v/>
      </c>
      <c r="K24" s="10">
        <f>SUM(B24:J24)</f>
        <v/>
      </c>
    </row>
    <row r="25" ht="16" customHeight="1">
      <c r="A25" s="5" t="inlineStr">
        <is>
          <t>Restaurante</t>
        </is>
      </c>
      <c r="B25" s="6">
        <f>IFERROR(-(SUMIFS('Itaú CC'!$C:$C,'Itaú CC'!$E:$E,$A25,'Itaú CC'!$F:$F,B$4,'Itaú CC'!$D:$D,"saída")+SUMIFS('Itaú Cartão'!$C:$C,'Itaú Cartão'!$E:$E,$A25,'Itaú Cartão'!$F:$F,B$4,'Itaú Cartão'!$D:$D,"saída")+SUMIFS('BTG Cartão'!$C:$C,'BTG Cartão'!$E:$E,$A25,'BTG Cartão'!$F:$F,B$4,'BTG Cartão'!$D:$D,"saída")),0)</f>
        <v/>
      </c>
      <c r="C25" s="6">
        <f>IFERROR(-(SUMIFS('Itaú CC'!$C:$C,'Itaú CC'!$E:$E,$A25,'Itaú CC'!$F:$F,C$4,'Itaú CC'!$D:$D,"saída")+SUMIFS('Itaú Cartão'!$C:$C,'Itaú Cartão'!$E:$E,$A25,'Itaú Cartão'!$F:$F,C$4,'Itaú Cartão'!$D:$D,"saída")+SUMIFS('BTG Cartão'!$C:$C,'BTG Cartão'!$E:$E,$A25,'BTG Cartão'!$F:$F,C$4,'BTG Cartão'!$D:$D,"saída")),0)</f>
        <v/>
      </c>
      <c r="D25" s="6">
        <f>IFERROR(-(SUMIFS('Itaú CC'!$C:$C,'Itaú CC'!$E:$E,$A25,'Itaú CC'!$F:$F,D$4,'Itaú CC'!$D:$D,"saída")+SUMIFS('Itaú Cartão'!$C:$C,'Itaú Cartão'!$E:$E,$A25,'Itaú Cartão'!$F:$F,D$4,'Itaú Cartão'!$D:$D,"saída")+SUMIFS('BTG Cartão'!$C:$C,'BTG Cartão'!$E:$E,$A25,'BTG Cartão'!$F:$F,D$4,'BTG Cartão'!$D:$D,"saída")),0)</f>
        <v/>
      </c>
      <c r="E25" s="6">
        <f>IFERROR(-(SUMIFS('Itaú CC'!$C:$C,'Itaú CC'!$E:$E,$A25,'Itaú CC'!$F:$F,E$4,'Itaú CC'!$D:$D,"saída")+SUMIFS('Itaú Cartão'!$C:$C,'Itaú Cartão'!$E:$E,$A25,'Itaú Cartão'!$F:$F,E$4,'Itaú Cartão'!$D:$D,"saída")+SUMIFS('BTG Cartão'!$C:$C,'BTG Cartão'!$E:$E,$A25,'BTG Cartão'!$F:$F,E$4,'BTG Cartão'!$D:$D,"saída")),0)</f>
        <v/>
      </c>
      <c r="F25" s="6">
        <f>IFERROR(-(SUMIFS('Itaú CC'!$C:$C,'Itaú CC'!$E:$E,$A25,'Itaú CC'!$F:$F,F$4,'Itaú CC'!$D:$D,"saída")+SUMIFS('Itaú Cartão'!$C:$C,'Itaú Cartão'!$E:$E,$A25,'Itaú Cartão'!$F:$F,F$4,'Itaú Cartão'!$D:$D,"saída")+SUMIFS('BTG Cartão'!$C:$C,'BTG Cartão'!$E:$E,$A25,'BTG Cartão'!$F:$F,F$4,'BTG Cartão'!$D:$D,"saída")),0)</f>
        <v/>
      </c>
      <c r="G25" s="6">
        <f>IFERROR(-(SUMIFS('Itaú CC'!$C:$C,'Itaú CC'!$E:$E,$A25,'Itaú CC'!$F:$F,G$4,'Itaú CC'!$D:$D,"saída")+SUMIFS('Itaú Cartão'!$C:$C,'Itaú Cartão'!$E:$E,$A25,'Itaú Cartão'!$F:$F,G$4,'Itaú Cartão'!$D:$D,"saída")+SUMIFS('BTG Cartão'!$C:$C,'BTG Cartão'!$E:$E,$A25,'BTG Cartão'!$F:$F,G$4,'BTG Cartão'!$D:$D,"saída")),0)</f>
        <v/>
      </c>
      <c r="H25" s="6">
        <f>IFERROR(-(SUMIFS('Itaú CC'!$C:$C,'Itaú CC'!$E:$E,$A25,'Itaú CC'!$F:$F,H$4,'Itaú CC'!$D:$D,"saída")+SUMIFS('Itaú Cartão'!$C:$C,'Itaú Cartão'!$E:$E,$A25,'Itaú Cartão'!$F:$F,H$4,'Itaú Cartão'!$D:$D,"saída")+SUMIFS('BTG Cartão'!$C:$C,'BTG Cartão'!$E:$E,$A25,'BTG Cartão'!$F:$F,H$4,'BTG Cartão'!$D:$D,"saída")),0)</f>
        <v/>
      </c>
      <c r="I25" s="6">
        <f>IFERROR(-(SUMIFS('Itaú CC'!$C:$C,'Itaú CC'!$E:$E,$A25,'Itaú CC'!$F:$F,I$4,'Itaú CC'!$D:$D,"saída")+SUMIFS('Itaú Cartão'!$C:$C,'Itaú Cartão'!$E:$E,$A25,'Itaú Cartão'!$F:$F,I$4,'Itaú Cartão'!$D:$D,"saída")+SUMIFS('BTG Cartão'!$C:$C,'BTG Cartão'!$E:$E,$A25,'BTG Cartão'!$F:$F,I$4,'BTG Cartão'!$D:$D,"saída")),0)</f>
        <v/>
      </c>
      <c r="J25" s="6">
        <f>IFERROR(-(SUMIFS('Itaú CC'!$C:$C,'Itaú CC'!$E:$E,$A25,'Itaú CC'!$F:$F,J$4,'Itaú CC'!$D:$D,"saída")+SUMIFS('Itaú Cartão'!$C:$C,'Itaú Cartão'!$E:$E,$A25,'Itaú Cartão'!$F:$F,J$4,'Itaú Cartão'!$D:$D,"saída")+SUMIFS('BTG Cartão'!$C:$C,'BTG Cartão'!$E:$E,$A25,'BTG Cartão'!$F:$F,J$4,'BTG Cartão'!$D:$D,"saída")),0)</f>
        <v/>
      </c>
      <c r="K25" s="7">
        <f>SUM(B25:J25)</f>
        <v/>
      </c>
    </row>
    <row r="26" ht="16" customHeight="1">
      <c r="A26" s="8" t="inlineStr">
        <is>
          <t>Saúde</t>
        </is>
      </c>
      <c r="B26" s="9">
        <f>IFERROR(-(SUMIFS('Itaú CC'!$C:$C,'Itaú CC'!$E:$E,$A26,'Itaú CC'!$F:$F,B$4,'Itaú CC'!$D:$D,"saída")+SUMIFS('Itaú Cartão'!$C:$C,'Itaú Cartão'!$E:$E,$A26,'Itaú Cartão'!$F:$F,B$4,'Itaú Cartão'!$D:$D,"saída")+SUMIFS('BTG Cartão'!$C:$C,'BTG Cartão'!$E:$E,$A26,'BTG Cartão'!$F:$F,B$4,'BTG Cartão'!$D:$D,"saída")),0)</f>
        <v/>
      </c>
      <c r="C26" s="9">
        <f>IFERROR(-(SUMIFS('Itaú CC'!$C:$C,'Itaú CC'!$E:$E,$A26,'Itaú CC'!$F:$F,C$4,'Itaú CC'!$D:$D,"saída")+SUMIFS('Itaú Cartão'!$C:$C,'Itaú Cartão'!$E:$E,$A26,'Itaú Cartão'!$F:$F,C$4,'Itaú Cartão'!$D:$D,"saída")+SUMIFS('BTG Cartão'!$C:$C,'BTG Cartão'!$E:$E,$A26,'BTG Cartão'!$F:$F,C$4,'BTG Cartão'!$D:$D,"saída")),0)</f>
        <v/>
      </c>
      <c r="D26" s="9">
        <f>IFERROR(-(SUMIFS('Itaú CC'!$C:$C,'Itaú CC'!$E:$E,$A26,'Itaú CC'!$F:$F,D$4,'Itaú CC'!$D:$D,"saída")+SUMIFS('Itaú Cartão'!$C:$C,'Itaú Cartão'!$E:$E,$A26,'Itaú Cartão'!$F:$F,D$4,'Itaú Cartão'!$D:$D,"saída")+SUMIFS('BTG Cartão'!$C:$C,'BTG Cartão'!$E:$E,$A26,'BTG Cartão'!$F:$F,D$4,'BTG Cartão'!$D:$D,"saída")),0)</f>
        <v/>
      </c>
      <c r="E26" s="9">
        <f>IFERROR(-(SUMIFS('Itaú CC'!$C:$C,'Itaú CC'!$E:$E,$A26,'Itaú CC'!$F:$F,E$4,'Itaú CC'!$D:$D,"saída")+SUMIFS('Itaú Cartão'!$C:$C,'Itaú Cartão'!$E:$E,$A26,'Itaú Cartão'!$F:$F,E$4,'Itaú Cartão'!$D:$D,"saída")+SUMIFS('BTG Cartão'!$C:$C,'BTG Cartão'!$E:$E,$A26,'BTG Cartão'!$F:$F,E$4,'BTG Cartão'!$D:$D,"saída")),0)</f>
        <v/>
      </c>
      <c r="F26" s="9">
        <f>IFERROR(-(SUMIFS('Itaú CC'!$C:$C,'Itaú CC'!$E:$E,$A26,'Itaú CC'!$F:$F,F$4,'Itaú CC'!$D:$D,"saída")+SUMIFS('Itaú Cartão'!$C:$C,'Itaú Cartão'!$E:$E,$A26,'Itaú Cartão'!$F:$F,F$4,'Itaú Cartão'!$D:$D,"saída")+SUMIFS('BTG Cartão'!$C:$C,'BTG Cartão'!$E:$E,$A26,'BTG Cartão'!$F:$F,F$4,'BTG Cartão'!$D:$D,"saída")),0)</f>
        <v/>
      </c>
      <c r="G26" s="9">
        <f>IFERROR(-(SUMIFS('Itaú CC'!$C:$C,'Itaú CC'!$E:$E,$A26,'Itaú CC'!$F:$F,G$4,'Itaú CC'!$D:$D,"saída")+SUMIFS('Itaú Cartão'!$C:$C,'Itaú Cartão'!$E:$E,$A26,'Itaú Cartão'!$F:$F,G$4,'Itaú Cartão'!$D:$D,"saída")+SUMIFS('BTG Cartão'!$C:$C,'BTG Cartão'!$E:$E,$A26,'BTG Cartão'!$F:$F,G$4,'BTG Cartão'!$D:$D,"saída")),0)</f>
        <v/>
      </c>
      <c r="H26" s="9">
        <f>IFERROR(-(SUMIFS('Itaú CC'!$C:$C,'Itaú CC'!$E:$E,$A26,'Itaú CC'!$F:$F,H$4,'Itaú CC'!$D:$D,"saída")+SUMIFS('Itaú Cartão'!$C:$C,'Itaú Cartão'!$E:$E,$A26,'Itaú Cartão'!$F:$F,H$4,'Itaú Cartão'!$D:$D,"saída")+SUMIFS('BTG Cartão'!$C:$C,'BTG Cartão'!$E:$E,$A26,'BTG Cartão'!$F:$F,H$4,'BTG Cartão'!$D:$D,"saída")),0)</f>
        <v/>
      </c>
      <c r="I26" s="9">
        <f>IFERROR(-(SUMIFS('Itaú CC'!$C:$C,'Itaú CC'!$E:$E,$A26,'Itaú CC'!$F:$F,I$4,'Itaú CC'!$D:$D,"saída")+SUMIFS('Itaú Cartão'!$C:$C,'Itaú Cartão'!$E:$E,$A26,'Itaú Cartão'!$F:$F,I$4,'Itaú Cartão'!$D:$D,"saída")+SUMIFS('BTG Cartão'!$C:$C,'BTG Cartão'!$E:$E,$A26,'BTG Cartão'!$F:$F,I$4,'BTG Cartão'!$D:$D,"saída")),0)</f>
        <v/>
      </c>
      <c r="J26" s="9">
        <f>IFERROR(-(SUMIFS('Itaú CC'!$C:$C,'Itaú CC'!$E:$E,$A26,'Itaú CC'!$F:$F,J$4,'Itaú CC'!$D:$D,"saída")+SUMIFS('Itaú Cartão'!$C:$C,'Itaú Cartão'!$E:$E,$A26,'Itaú Cartão'!$F:$F,J$4,'Itaú Cartão'!$D:$D,"saída")+SUMIFS('BTG Cartão'!$C:$C,'BTG Cartão'!$E:$E,$A26,'BTG Cartão'!$F:$F,J$4,'BTG Cartão'!$D:$D,"saída")),0)</f>
        <v/>
      </c>
      <c r="K26" s="10">
        <f>SUM(B26:J26)</f>
        <v/>
      </c>
    </row>
    <row r="27" ht="16" customHeight="1">
      <c r="A27" s="5" t="inlineStr">
        <is>
          <t>Saúde/Farmácia</t>
        </is>
      </c>
      <c r="B27" s="6">
        <f>IFERROR(-(SUMIFS('Itaú CC'!$C:$C,'Itaú CC'!$E:$E,$A27,'Itaú CC'!$F:$F,B$4,'Itaú CC'!$D:$D,"saída")+SUMIFS('Itaú Cartão'!$C:$C,'Itaú Cartão'!$E:$E,$A27,'Itaú Cartão'!$F:$F,B$4,'Itaú Cartão'!$D:$D,"saída")+SUMIFS('BTG Cartão'!$C:$C,'BTG Cartão'!$E:$E,$A27,'BTG Cartão'!$F:$F,B$4,'BTG Cartão'!$D:$D,"saída")),0)</f>
        <v/>
      </c>
      <c r="C27" s="6">
        <f>IFERROR(-(SUMIFS('Itaú CC'!$C:$C,'Itaú CC'!$E:$E,$A27,'Itaú CC'!$F:$F,C$4,'Itaú CC'!$D:$D,"saída")+SUMIFS('Itaú Cartão'!$C:$C,'Itaú Cartão'!$E:$E,$A27,'Itaú Cartão'!$F:$F,C$4,'Itaú Cartão'!$D:$D,"saída")+SUMIFS('BTG Cartão'!$C:$C,'BTG Cartão'!$E:$E,$A27,'BTG Cartão'!$F:$F,C$4,'BTG Cartão'!$D:$D,"saída")),0)</f>
        <v/>
      </c>
      <c r="D27" s="6">
        <f>IFERROR(-(SUMIFS('Itaú CC'!$C:$C,'Itaú CC'!$E:$E,$A27,'Itaú CC'!$F:$F,D$4,'Itaú CC'!$D:$D,"saída")+SUMIFS('Itaú Cartão'!$C:$C,'Itaú Cartão'!$E:$E,$A27,'Itaú Cartão'!$F:$F,D$4,'Itaú Cartão'!$D:$D,"saída")+SUMIFS('BTG Cartão'!$C:$C,'BTG Cartão'!$E:$E,$A27,'BTG Cartão'!$F:$F,D$4,'BTG Cartão'!$D:$D,"saída")),0)</f>
        <v/>
      </c>
      <c r="E27" s="6">
        <f>IFERROR(-(SUMIFS('Itaú CC'!$C:$C,'Itaú CC'!$E:$E,$A27,'Itaú CC'!$F:$F,E$4,'Itaú CC'!$D:$D,"saída")+SUMIFS('Itaú Cartão'!$C:$C,'Itaú Cartão'!$E:$E,$A27,'Itaú Cartão'!$F:$F,E$4,'Itaú Cartão'!$D:$D,"saída")+SUMIFS('BTG Cartão'!$C:$C,'BTG Cartão'!$E:$E,$A27,'BTG Cartão'!$F:$F,E$4,'BTG Cartão'!$D:$D,"saída")),0)</f>
        <v/>
      </c>
      <c r="F27" s="6">
        <f>IFERROR(-(SUMIFS('Itaú CC'!$C:$C,'Itaú CC'!$E:$E,$A27,'Itaú CC'!$F:$F,F$4,'Itaú CC'!$D:$D,"saída")+SUMIFS('Itaú Cartão'!$C:$C,'Itaú Cartão'!$E:$E,$A27,'Itaú Cartão'!$F:$F,F$4,'Itaú Cartão'!$D:$D,"saída")+SUMIFS('BTG Cartão'!$C:$C,'BTG Cartão'!$E:$E,$A27,'BTG Cartão'!$F:$F,F$4,'BTG Cartão'!$D:$D,"saída")),0)</f>
        <v/>
      </c>
      <c r="G27" s="6">
        <f>IFERROR(-(SUMIFS('Itaú CC'!$C:$C,'Itaú CC'!$E:$E,$A27,'Itaú CC'!$F:$F,G$4,'Itaú CC'!$D:$D,"saída")+SUMIFS('Itaú Cartão'!$C:$C,'Itaú Cartão'!$E:$E,$A27,'Itaú Cartão'!$F:$F,G$4,'Itaú Cartão'!$D:$D,"saída")+SUMIFS('BTG Cartão'!$C:$C,'BTG Cartão'!$E:$E,$A27,'BTG Cartão'!$F:$F,G$4,'BTG Cartão'!$D:$D,"saída")),0)</f>
        <v/>
      </c>
      <c r="H27" s="6">
        <f>IFERROR(-(SUMIFS('Itaú CC'!$C:$C,'Itaú CC'!$E:$E,$A27,'Itaú CC'!$F:$F,H$4,'Itaú CC'!$D:$D,"saída")+SUMIFS('Itaú Cartão'!$C:$C,'Itaú Cartão'!$E:$E,$A27,'Itaú Cartão'!$F:$F,H$4,'Itaú Cartão'!$D:$D,"saída")+SUMIFS('BTG Cartão'!$C:$C,'BTG Cartão'!$E:$E,$A27,'BTG Cartão'!$F:$F,H$4,'BTG Cartão'!$D:$D,"saída")),0)</f>
        <v/>
      </c>
      <c r="I27" s="6">
        <f>IFERROR(-(SUMIFS('Itaú CC'!$C:$C,'Itaú CC'!$E:$E,$A27,'Itaú CC'!$F:$F,I$4,'Itaú CC'!$D:$D,"saída")+SUMIFS('Itaú Cartão'!$C:$C,'Itaú Cartão'!$E:$E,$A27,'Itaú Cartão'!$F:$F,I$4,'Itaú Cartão'!$D:$D,"saída")+SUMIFS('BTG Cartão'!$C:$C,'BTG Cartão'!$E:$E,$A27,'BTG Cartão'!$F:$F,I$4,'BTG Cartão'!$D:$D,"saída")),0)</f>
        <v/>
      </c>
      <c r="J27" s="6">
        <f>IFERROR(-(SUMIFS('Itaú CC'!$C:$C,'Itaú CC'!$E:$E,$A27,'Itaú CC'!$F:$F,J$4,'Itaú CC'!$D:$D,"saída")+SUMIFS('Itaú Cartão'!$C:$C,'Itaú Cartão'!$E:$E,$A27,'Itaú Cartão'!$F:$F,J$4,'Itaú Cartão'!$D:$D,"saída")+SUMIFS('BTG Cartão'!$C:$C,'BTG Cartão'!$E:$E,$A27,'BTG Cartão'!$F:$F,J$4,'BTG Cartão'!$D:$D,"saída")),0)</f>
        <v/>
      </c>
      <c r="K27" s="7">
        <f>SUM(B27:J27)</f>
        <v/>
      </c>
    </row>
    <row r="28" ht="16" customHeight="1">
      <c r="A28" s="8" t="inlineStr">
        <is>
          <t>Seguro</t>
        </is>
      </c>
      <c r="B28" s="9">
        <f>IFERROR(-(SUMIFS('Itaú CC'!$C:$C,'Itaú CC'!$E:$E,$A28,'Itaú CC'!$F:$F,B$4,'Itaú CC'!$D:$D,"saída")+SUMIFS('Itaú Cartão'!$C:$C,'Itaú Cartão'!$E:$E,$A28,'Itaú Cartão'!$F:$F,B$4,'Itaú Cartão'!$D:$D,"saída")+SUMIFS('BTG Cartão'!$C:$C,'BTG Cartão'!$E:$E,$A28,'BTG Cartão'!$F:$F,B$4,'BTG Cartão'!$D:$D,"saída")),0)</f>
        <v/>
      </c>
      <c r="C28" s="9">
        <f>IFERROR(-(SUMIFS('Itaú CC'!$C:$C,'Itaú CC'!$E:$E,$A28,'Itaú CC'!$F:$F,C$4,'Itaú CC'!$D:$D,"saída")+SUMIFS('Itaú Cartão'!$C:$C,'Itaú Cartão'!$E:$E,$A28,'Itaú Cartão'!$F:$F,C$4,'Itaú Cartão'!$D:$D,"saída")+SUMIFS('BTG Cartão'!$C:$C,'BTG Cartão'!$E:$E,$A28,'BTG Cartão'!$F:$F,C$4,'BTG Cartão'!$D:$D,"saída")),0)</f>
        <v/>
      </c>
      <c r="D28" s="9">
        <f>IFERROR(-(SUMIFS('Itaú CC'!$C:$C,'Itaú CC'!$E:$E,$A28,'Itaú CC'!$F:$F,D$4,'Itaú CC'!$D:$D,"saída")+SUMIFS('Itaú Cartão'!$C:$C,'Itaú Cartão'!$E:$E,$A28,'Itaú Cartão'!$F:$F,D$4,'Itaú Cartão'!$D:$D,"saída")+SUMIFS('BTG Cartão'!$C:$C,'BTG Cartão'!$E:$E,$A28,'BTG Cartão'!$F:$F,D$4,'BTG Cartão'!$D:$D,"saída")),0)</f>
        <v/>
      </c>
      <c r="E28" s="9">
        <f>IFERROR(-(SUMIFS('Itaú CC'!$C:$C,'Itaú CC'!$E:$E,$A28,'Itaú CC'!$F:$F,E$4,'Itaú CC'!$D:$D,"saída")+SUMIFS('Itaú Cartão'!$C:$C,'Itaú Cartão'!$E:$E,$A28,'Itaú Cartão'!$F:$F,E$4,'Itaú Cartão'!$D:$D,"saída")+SUMIFS('BTG Cartão'!$C:$C,'BTG Cartão'!$E:$E,$A28,'BTG Cartão'!$F:$F,E$4,'BTG Cartão'!$D:$D,"saída")),0)</f>
        <v/>
      </c>
      <c r="F28" s="9">
        <f>IFERROR(-(SUMIFS('Itaú CC'!$C:$C,'Itaú CC'!$E:$E,$A28,'Itaú CC'!$F:$F,F$4,'Itaú CC'!$D:$D,"saída")+SUMIFS('Itaú Cartão'!$C:$C,'Itaú Cartão'!$E:$E,$A28,'Itaú Cartão'!$F:$F,F$4,'Itaú Cartão'!$D:$D,"saída")+SUMIFS('BTG Cartão'!$C:$C,'BTG Cartão'!$E:$E,$A28,'BTG Cartão'!$F:$F,F$4,'BTG Cartão'!$D:$D,"saída")),0)</f>
        <v/>
      </c>
      <c r="G28" s="9">
        <f>IFERROR(-(SUMIFS('Itaú CC'!$C:$C,'Itaú CC'!$E:$E,$A28,'Itaú CC'!$F:$F,G$4,'Itaú CC'!$D:$D,"saída")+SUMIFS('Itaú Cartão'!$C:$C,'Itaú Cartão'!$E:$E,$A28,'Itaú Cartão'!$F:$F,G$4,'Itaú Cartão'!$D:$D,"saída")+SUMIFS('BTG Cartão'!$C:$C,'BTG Cartão'!$E:$E,$A28,'BTG Cartão'!$F:$F,G$4,'BTG Cartão'!$D:$D,"saída")),0)</f>
        <v/>
      </c>
      <c r="H28" s="9">
        <f>IFERROR(-(SUMIFS('Itaú CC'!$C:$C,'Itaú CC'!$E:$E,$A28,'Itaú CC'!$F:$F,H$4,'Itaú CC'!$D:$D,"saída")+SUMIFS('Itaú Cartão'!$C:$C,'Itaú Cartão'!$E:$E,$A28,'Itaú Cartão'!$F:$F,H$4,'Itaú Cartão'!$D:$D,"saída")+SUMIFS('BTG Cartão'!$C:$C,'BTG Cartão'!$E:$E,$A28,'BTG Cartão'!$F:$F,H$4,'BTG Cartão'!$D:$D,"saída")),0)</f>
        <v/>
      </c>
      <c r="I28" s="9">
        <f>IFERROR(-(SUMIFS('Itaú CC'!$C:$C,'Itaú CC'!$E:$E,$A28,'Itaú CC'!$F:$F,I$4,'Itaú CC'!$D:$D,"saída")+SUMIFS('Itaú Cartão'!$C:$C,'Itaú Cartão'!$E:$E,$A28,'Itaú Cartão'!$F:$F,I$4,'Itaú Cartão'!$D:$D,"saída")+SUMIFS('BTG Cartão'!$C:$C,'BTG Cartão'!$E:$E,$A28,'BTG Cartão'!$F:$F,I$4,'BTG Cartão'!$D:$D,"saída")),0)</f>
        <v/>
      </c>
      <c r="J28" s="9">
        <f>IFERROR(-(SUMIFS('Itaú CC'!$C:$C,'Itaú CC'!$E:$E,$A28,'Itaú CC'!$F:$F,J$4,'Itaú CC'!$D:$D,"saída")+SUMIFS('Itaú Cartão'!$C:$C,'Itaú Cartão'!$E:$E,$A28,'Itaú Cartão'!$F:$F,J$4,'Itaú Cartão'!$D:$D,"saída")+SUMIFS('BTG Cartão'!$C:$C,'BTG Cartão'!$E:$E,$A28,'BTG Cartão'!$F:$F,J$4,'BTG Cartão'!$D:$D,"saída")),0)</f>
        <v/>
      </c>
      <c r="K28" s="10">
        <f>SUM(B28:J28)</f>
        <v/>
      </c>
    </row>
    <row r="29" ht="16" customHeight="1">
      <c r="A29" s="5" t="inlineStr">
        <is>
          <t>Serviços Domésticos</t>
        </is>
      </c>
      <c r="B29" s="6">
        <f>IFERROR(-(SUMIFS('Itaú CC'!$C:$C,'Itaú CC'!$E:$E,$A29,'Itaú CC'!$F:$F,B$4,'Itaú CC'!$D:$D,"saída")+SUMIFS('Itaú Cartão'!$C:$C,'Itaú Cartão'!$E:$E,$A29,'Itaú Cartão'!$F:$F,B$4,'Itaú Cartão'!$D:$D,"saída")+SUMIFS('BTG Cartão'!$C:$C,'BTG Cartão'!$E:$E,$A29,'BTG Cartão'!$F:$F,B$4,'BTG Cartão'!$D:$D,"saída")),0)</f>
        <v/>
      </c>
      <c r="C29" s="6">
        <f>IFERROR(-(SUMIFS('Itaú CC'!$C:$C,'Itaú CC'!$E:$E,$A29,'Itaú CC'!$F:$F,C$4,'Itaú CC'!$D:$D,"saída")+SUMIFS('Itaú Cartão'!$C:$C,'Itaú Cartão'!$E:$E,$A29,'Itaú Cartão'!$F:$F,C$4,'Itaú Cartão'!$D:$D,"saída")+SUMIFS('BTG Cartão'!$C:$C,'BTG Cartão'!$E:$E,$A29,'BTG Cartão'!$F:$F,C$4,'BTG Cartão'!$D:$D,"saída")),0)</f>
        <v/>
      </c>
      <c r="D29" s="6">
        <f>IFERROR(-(SUMIFS('Itaú CC'!$C:$C,'Itaú CC'!$E:$E,$A29,'Itaú CC'!$F:$F,D$4,'Itaú CC'!$D:$D,"saída")+SUMIFS('Itaú Cartão'!$C:$C,'Itaú Cartão'!$E:$E,$A29,'Itaú Cartão'!$F:$F,D$4,'Itaú Cartão'!$D:$D,"saída")+SUMIFS('BTG Cartão'!$C:$C,'BTG Cartão'!$E:$E,$A29,'BTG Cartão'!$F:$F,D$4,'BTG Cartão'!$D:$D,"saída")),0)</f>
        <v/>
      </c>
      <c r="E29" s="6">
        <f>IFERROR(-(SUMIFS('Itaú CC'!$C:$C,'Itaú CC'!$E:$E,$A29,'Itaú CC'!$F:$F,E$4,'Itaú CC'!$D:$D,"saída")+SUMIFS('Itaú Cartão'!$C:$C,'Itaú Cartão'!$E:$E,$A29,'Itaú Cartão'!$F:$F,E$4,'Itaú Cartão'!$D:$D,"saída")+SUMIFS('BTG Cartão'!$C:$C,'BTG Cartão'!$E:$E,$A29,'BTG Cartão'!$F:$F,E$4,'BTG Cartão'!$D:$D,"saída")),0)</f>
        <v/>
      </c>
      <c r="F29" s="6">
        <f>IFERROR(-(SUMIFS('Itaú CC'!$C:$C,'Itaú CC'!$E:$E,$A29,'Itaú CC'!$F:$F,F$4,'Itaú CC'!$D:$D,"saída")+SUMIFS('Itaú Cartão'!$C:$C,'Itaú Cartão'!$E:$E,$A29,'Itaú Cartão'!$F:$F,F$4,'Itaú Cartão'!$D:$D,"saída")+SUMIFS('BTG Cartão'!$C:$C,'BTG Cartão'!$E:$E,$A29,'BTG Cartão'!$F:$F,F$4,'BTG Cartão'!$D:$D,"saída")),0)</f>
        <v/>
      </c>
      <c r="G29" s="6">
        <f>IFERROR(-(SUMIFS('Itaú CC'!$C:$C,'Itaú CC'!$E:$E,$A29,'Itaú CC'!$F:$F,G$4,'Itaú CC'!$D:$D,"saída")+SUMIFS('Itaú Cartão'!$C:$C,'Itaú Cartão'!$E:$E,$A29,'Itaú Cartão'!$F:$F,G$4,'Itaú Cartão'!$D:$D,"saída")+SUMIFS('BTG Cartão'!$C:$C,'BTG Cartão'!$E:$E,$A29,'BTG Cartão'!$F:$F,G$4,'BTG Cartão'!$D:$D,"saída")),0)</f>
        <v/>
      </c>
      <c r="H29" s="6">
        <f>IFERROR(-(SUMIFS('Itaú CC'!$C:$C,'Itaú CC'!$E:$E,$A29,'Itaú CC'!$F:$F,H$4,'Itaú CC'!$D:$D,"saída")+SUMIFS('Itaú Cartão'!$C:$C,'Itaú Cartão'!$E:$E,$A29,'Itaú Cartão'!$F:$F,H$4,'Itaú Cartão'!$D:$D,"saída")+SUMIFS('BTG Cartão'!$C:$C,'BTG Cartão'!$E:$E,$A29,'BTG Cartão'!$F:$F,H$4,'BTG Cartão'!$D:$D,"saída")),0)</f>
        <v/>
      </c>
      <c r="I29" s="6">
        <f>IFERROR(-(SUMIFS('Itaú CC'!$C:$C,'Itaú CC'!$E:$E,$A29,'Itaú CC'!$F:$F,I$4,'Itaú CC'!$D:$D,"saída")+SUMIFS('Itaú Cartão'!$C:$C,'Itaú Cartão'!$E:$E,$A29,'Itaú Cartão'!$F:$F,I$4,'Itaú Cartão'!$D:$D,"saída")+SUMIFS('BTG Cartão'!$C:$C,'BTG Cartão'!$E:$E,$A29,'BTG Cartão'!$F:$F,I$4,'BTG Cartão'!$D:$D,"saída")),0)</f>
        <v/>
      </c>
      <c r="J29" s="6">
        <f>IFERROR(-(SUMIFS('Itaú CC'!$C:$C,'Itaú CC'!$E:$E,$A29,'Itaú CC'!$F:$F,J$4,'Itaú CC'!$D:$D,"saída")+SUMIFS('Itaú Cartão'!$C:$C,'Itaú Cartão'!$E:$E,$A29,'Itaú Cartão'!$F:$F,J$4,'Itaú Cartão'!$D:$D,"saída")+SUMIFS('BTG Cartão'!$C:$C,'BTG Cartão'!$E:$E,$A29,'BTG Cartão'!$F:$F,J$4,'BTG Cartão'!$D:$D,"saída")),0)</f>
        <v/>
      </c>
      <c r="K29" s="7">
        <f>SUM(B29:J29)</f>
        <v/>
      </c>
    </row>
    <row r="30" ht="16" customHeight="1">
      <c r="A30" s="8" t="inlineStr">
        <is>
          <t>Streaming/Assinatura</t>
        </is>
      </c>
      <c r="B30" s="9">
        <f>IFERROR(-(SUMIFS('Itaú CC'!$C:$C,'Itaú CC'!$E:$E,$A30,'Itaú CC'!$F:$F,B$4,'Itaú CC'!$D:$D,"saída")+SUMIFS('Itaú Cartão'!$C:$C,'Itaú Cartão'!$E:$E,$A30,'Itaú Cartão'!$F:$F,B$4,'Itaú Cartão'!$D:$D,"saída")+SUMIFS('BTG Cartão'!$C:$C,'BTG Cartão'!$E:$E,$A30,'BTG Cartão'!$F:$F,B$4,'BTG Cartão'!$D:$D,"saída")),0)</f>
        <v/>
      </c>
      <c r="C30" s="9">
        <f>IFERROR(-(SUMIFS('Itaú CC'!$C:$C,'Itaú CC'!$E:$E,$A30,'Itaú CC'!$F:$F,C$4,'Itaú CC'!$D:$D,"saída")+SUMIFS('Itaú Cartão'!$C:$C,'Itaú Cartão'!$E:$E,$A30,'Itaú Cartão'!$F:$F,C$4,'Itaú Cartão'!$D:$D,"saída")+SUMIFS('BTG Cartão'!$C:$C,'BTG Cartão'!$E:$E,$A30,'BTG Cartão'!$F:$F,C$4,'BTG Cartão'!$D:$D,"saída")),0)</f>
        <v/>
      </c>
      <c r="D30" s="9">
        <f>IFERROR(-(SUMIFS('Itaú CC'!$C:$C,'Itaú CC'!$E:$E,$A30,'Itaú CC'!$F:$F,D$4,'Itaú CC'!$D:$D,"saída")+SUMIFS('Itaú Cartão'!$C:$C,'Itaú Cartão'!$E:$E,$A30,'Itaú Cartão'!$F:$F,D$4,'Itaú Cartão'!$D:$D,"saída")+SUMIFS('BTG Cartão'!$C:$C,'BTG Cartão'!$E:$E,$A30,'BTG Cartão'!$F:$F,D$4,'BTG Cartão'!$D:$D,"saída")),0)</f>
        <v/>
      </c>
      <c r="E30" s="9">
        <f>IFERROR(-(SUMIFS('Itaú CC'!$C:$C,'Itaú CC'!$E:$E,$A30,'Itaú CC'!$F:$F,E$4,'Itaú CC'!$D:$D,"saída")+SUMIFS('Itaú Cartão'!$C:$C,'Itaú Cartão'!$E:$E,$A30,'Itaú Cartão'!$F:$F,E$4,'Itaú Cartão'!$D:$D,"saída")+SUMIFS('BTG Cartão'!$C:$C,'BTG Cartão'!$E:$E,$A30,'BTG Cartão'!$F:$F,E$4,'BTG Cartão'!$D:$D,"saída")),0)</f>
        <v/>
      </c>
      <c r="F30" s="9">
        <f>IFERROR(-(SUMIFS('Itaú CC'!$C:$C,'Itaú CC'!$E:$E,$A30,'Itaú CC'!$F:$F,F$4,'Itaú CC'!$D:$D,"saída")+SUMIFS('Itaú Cartão'!$C:$C,'Itaú Cartão'!$E:$E,$A30,'Itaú Cartão'!$F:$F,F$4,'Itaú Cartão'!$D:$D,"saída")+SUMIFS('BTG Cartão'!$C:$C,'BTG Cartão'!$E:$E,$A30,'BTG Cartão'!$F:$F,F$4,'BTG Cartão'!$D:$D,"saída")),0)</f>
        <v/>
      </c>
      <c r="G30" s="9">
        <f>IFERROR(-(SUMIFS('Itaú CC'!$C:$C,'Itaú CC'!$E:$E,$A30,'Itaú CC'!$F:$F,G$4,'Itaú CC'!$D:$D,"saída")+SUMIFS('Itaú Cartão'!$C:$C,'Itaú Cartão'!$E:$E,$A30,'Itaú Cartão'!$F:$F,G$4,'Itaú Cartão'!$D:$D,"saída")+SUMIFS('BTG Cartão'!$C:$C,'BTG Cartão'!$E:$E,$A30,'BTG Cartão'!$F:$F,G$4,'BTG Cartão'!$D:$D,"saída")),0)</f>
        <v/>
      </c>
      <c r="H30" s="9">
        <f>IFERROR(-(SUMIFS('Itaú CC'!$C:$C,'Itaú CC'!$E:$E,$A30,'Itaú CC'!$F:$F,H$4,'Itaú CC'!$D:$D,"saída")+SUMIFS('Itaú Cartão'!$C:$C,'Itaú Cartão'!$E:$E,$A30,'Itaú Cartão'!$F:$F,H$4,'Itaú Cartão'!$D:$D,"saída")+SUMIFS('BTG Cartão'!$C:$C,'BTG Cartão'!$E:$E,$A30,'BTG Cartão'!$F:$F,H$4,'BTG Cartão'!$D:$D,"saída")),0)</f>
        <v/>
      </c>
      <c r="I30" s="9">
        <f>IFERROR(-(SUMIFS('Itaú CC'!$C:$C,'Itaú CC'!$E:$E,$A30,'Itaú CC'!$F:$F,I$4,'Itaú CC'!$D:$D,"saída")+SUMIFS('Itaú Cartão'!$C:$C,'Itaú Cartão'!$E:$E,$A30,'Itaú Cartão'!$F:$F,I$4,'Itaú Cartão'!$D:$D,"saída")+SUMIFS('BTG Cartão'!$C:$C,'BTG Cartão'!$E:$E,$A30,'BTG Cartão'!$F:$F,I$4,'BTG Cartão'!$D:$D,"saída")),0)</f>
        <v/>
      </c>
      <c r="J30" s="9">
        <f>IFERROR(-(SUMIFS('Itaú CC'!$C:$C,'Itaú CC'!$E:$E,$A30,'Itaú CC'!$F:$F,J$4,'Itaú CC'!$D:$D,"saída")+SUMIFS('Itaú Cartão'!$C:$C,'Itaú Cartão'!$E:$E,$A30,'Itaú Cartão'!$F:$F,J$4,'Itaú Cartão'!$D:$D,"saída")+SUMIFS('BTG Cartão'!$C:$C,'BTG Cartão'!$E:$E,$A30,'BTG Cartão'!$F:$F,J$4,'BTG Cartão'!$D:$D,"saída")),0)</f>
        <v/>
      </c>
      <c r="K30" s="10">
        <f>SUM(B30:J30)</f>
        <v/>
      </c>
    </row>
    <row r="31" ht="16" customHeight="1">
      <c r="A31" s="5" t="inlineStr">
        <is>
          <t>Telecomunicações</t>
        </is>
      </c>
      <c r="B31" s="6">
        <f>IFERROR(-(SUMIFS('Itaú CC'!$C:$C,'Itaú CC'!$E:$E,$A31,'Itaú CC'!$F:$F,B$4,'Itaú CC'!$D:$D,"saída")+SUMIFS('Itaú Cartão'!$C:$C,'Itaú Cartão'!$E:$E,$A31,'Itaú Cartão'!$F:$F,B$4,'Itaú Cartão'!$D:$D,"saída")+SUMIFS('BTG Cartão'!$C:$C,'BTG Cartão'!$E:$E,$A31,'BTG Cartão'!$F:$F,B$4,'BTG Cartão'!$D:$D,"saída")),0)</f>
        <v/>
      </c>
      <c r="C31" s="6">
        <f>IFERROR(-(SUMIFS('Itaú CC'!$C:$C,'Itaú CC'!$E:$E,$A31,'Itaú CC'!$F:$F,C$4,'Itaú CC'!$D:$D,"saída")+SUMIFS('Itaú Cartão'!$C:$C,'Itaú Cartão'!$E:$E,$A31,'Itaú Cartão'!$F:$F,C$4,'Itaú Cartão'!$D:$D,"saída")+SUMIFS('BTG Cartão'!$C:$C,'BTG Cartão'!$E:$E,$A31,'BTG Cartão'!$F:$F,C$4,'BTG Cartão'!$D:$D,"saída")),0)</f>
        <v/>
      </c>
      <c r="D31" s="6">
        <f>IFERROR(-(SUMIFS('Itaú CC'!$C:$C,'Itaú CC'!$E:$E,$A31,'Itaú CC'!$F:$F,D$4,'Itaú CC'!$D:$D,"saída")+SUMIFS('Itaú Cartão'!$C:$C,'Itaú Cartão'!$E:$E,$A31,'Itaú Cartão'!$F:$F,D$4,'Itaú Cartão'!$D:$D,"saída")+SUMIFS('BTG Cartão'!$C:$C,'BTG Cartão'!$E:$E,$A31,'BTG Cartão'!$F:$F,D$4,'BTG Cartão'!$D:$D,"saída")),0)</f>
        <v/>
      </c>
      <c r="E31" s="6">
        <f>IFERROR(-(SUMIFS('Itaú CC'!$C:$C,'Itaú CC'!$E:$E,$A31,'Itaú CC'!$F:$F,E$4,'Itaú CC'!$D:$D,"saída")+SUMIFS('Itaú Cartão'!$C:$C,'Itaú Cartão'!$E:$E,$A31,'Itaú Cartão'!$F:$F,E$4,'Itaú Cartão'!$D:$D,"saída")+SUMIFS('BTG Cartão'!$C:$C,'BTG Cartão'!$E:$E,$A31,'BTG Cartão'!$F:$F,E$4,'BTG Cartão'!$D:$D,"saída")),0)</f>
        <v/>
      </c>
      <c r="F31" s="6">
        <f>IFERROR(-(SUMIFS('Itaú CC'!$C:$C,'Itaú CC'!$E:$E,$A31,'Itaú CC'!$F:$F,F$4,'Itaú CC'!$D:$D,"saída")+SUMIFS('Itaú Cartão'!$C:$C,'Itaú Cartão'!$E:$E,$A31,'Itaú Cartão'!$F:$F,F$4,'Itaú Cartão'!$D:$D,"saída")+SUMIFS('BTG Cartão'!$C:$C,'BTG Cartão'!$E:$E,$A31,'BTG Cartão'!$F:$F,F$4,'BTG Cartão'!$D:$D,"saída")),0)</f>
        <v/>
      </c>
      <c r="G31" s="6">
        <f>IFERROR(-(SUMIFS('Itaú CC'!$C:$C,'Itaú CC'!$E:$E,$A31,'Itaú CC'!$F:$F,G$4,'Itaú CC'!$D:$D,"saída")+SUMIFS('Itaú Cartão'!$C:$C,'Itaú Cartão'!$E:$E,$A31,'Itaú Cartão'!$F:$F,G$4,'Itaú Cartão'!$D:$D,"saída")+SUMIFS('BTG Cartão'!$C:$C,'BTG Cartão'!$E:$E,$A31,'BTG Cartão'!$F:$F,G$4,'BTG Cartão'!$D:$D,"saída")),0)</f>
        <v/>
      </c>
      <c r="H31" s="6">
        <f>IFERROR(-(SUMIFS('Itaú CC'!$C:$C,'Itaú CC'!$E:$E,$A31,'Itaú CC'!$F:$F,H$4,'Itaú CC'!$D:$D,"saída")+SUMIFS('Itaú Cartão'!$C:$C,'Itaú Cartão'!$E:$E,$A31,'Itaú Cartão'!$F:$F,H$4,'Itaú Cartão'!$D:$D,"saída")+SUMIFS('BTG Cartão'!$C:$C,'BTG Cartão'!$E:$E,$A31,'BTG Cartão'!$F:$F,H$4,'BTG Cartão'!$D:$D,"saída")),0)</f>
        <v/>
      </c>
      <c r="I31" s="6">
        <f>IFERROR(-(SUMIFS('Itaú CC'!$C:$C,'Itaú CC'!$E:$E,$A31,'Itaú CC'!$F:$F,I$4,'Itaú CC'!$D:$D,"saída")+SUMIFS('Itaú Cartão'!$C:$C,'Itaú Cartão'!$E:$E,$A31,'Itaú Cartão'!$F:$F,I$4,'Itaú Cartão'!$D:$D,"saída")+SUMIFS('BTG Cartão'!$C:$C,'BTG Cartão'!$E:$E,$A31,'BTG Cartão'!$F:$F,I$4,'BTG Cartão'!$D:$D,"saída")),0)</f>
        <v/>
      </c>
      <c r="J31" s="6">
        <f>IFERROR(-(SUMIFS('Itaú CC'!$C:$C,'Itaú CC'!$E:$E,$A31,'Itaú CC'!$F:$F,J$4,'Itaú CC'!$D:$D,"saída")+SUMIFS('Itaú Cartão'!$C:$C,'Itaú Cartão'!$E:$E,$A31,'Itaú Cartão'!$F:$F,J$4,'Itaú Cartão'!$D:$D,"saída")+SUMIFS('BTG Cartão'!$C:$C,'BTG Cartão'!$E:$E,$A31,'BTG Cartão'!$F:$F,J$4,'BTG Cartão'!$D:$D,"saída")),0)</f>
        <v/>
      </c>
      <c r="K31" s="7">
        <f>SUM(B31:J31)</f>
        <v/>
      </c>
    </row>
    <row r="32" ht="16" customHeight="1">
      <c r="A32" s="8" t="inlineStr">
        <is>
          <t>Transferência Própria</t>
        </is>
      </c>
      <c r="B32" s="9">
        <f>IFERROR(-(SUMIFS('Itaú CC'!$C:$C,'Itaú CC'!$E:$E,$A32,'Itaú CC'!$F:$F,B$4,'Itaú CC'!$D:$D,"saída")+SUMIFS('Itaú Cartão'!$C:$C,'Itaú Cartão'!$E:$E,$A32,'Itaú Cartão'!$F:$F,B$4,'Itaú Cartão'!$D:$D,"saída")+SUMIFS('BTG Cartão'!$C:$C,'BTG Cartão'!$E:$E,$A32,'BTG Cartão'!$F:$F,B$4,'BTG Cartão'!$D:$D,"saída")),0)</f>
        <v/>
      </c>
      <c r="C32" s="9">
        <f>IFERROR(-(SUMIFS('Itaú CC'!$C:$C,'Itaú CC'!$E:$E,$A32,'Itaú CC'!$F:$F,C$4,'Itaú CC'!$D:$D,"saída")+SUMIFS('Itaú Cartão'!$C:$C,'Itaú Cartão'!$E:$E,$A32,'Itaú Cartão'!$F:$F,C$4,'Itaú Cartão'!$D:$D,"saída")+SUMIFS('BTG Cartão'!$C:$C,'BTG Cartão'!$E:$E,$A32,'BTG Cartão'!$F:$F,C$4,'BTG Cartão'!$D:$D,"saída")),0)</f>
        <v/>
      </c>
      <c r="D32" s="9">
        <f>IFERROR(-(SUMIFS('Itaú CC'!$C:$C,'Itaú CC'!$E:$E,$A32,'Itaú CC'!$F:$F,D$4,'Itaú CC'!$D:$D,"saída")+SUMIFS('Itaú Cartão'!$C:$C,'Itaú Cartão'!$E:$E,$A32,'Itaú Cartão'!$F:$F,D$4,'Itaú Cartão'!$D:$D,"saída")+SUMIFS('BTG Cartão'!$C:$C,'BTG Cartão'!$E:$E,$A32,'BTG Cartão'!$F:$F,D$4,'BTG Cartão'!$D:$D,"saída")),0)</f>
        <v/>
      </c>
      <c r="E32" s="9">
        <f>IFERROR(-(SUMIFS('Itaú CC'!$C:$C,'Itaú CC'!$E:$E,$A32,'Itaú CC'!$F:$F,E$4,'Itaú CC'!$D:$D,"saída")+SUMIFS('Itaú Cartão'!$C:$C,'Itaú Cartão'!$E:$E,$A32,'Itaú Cartão'!$F:$F,E$4,'Itaú Cartão'!$D:$D,"saída")+SUMIFS('BTG Cartão'!$C:$C,'BTG Cartão'!$E:$E,$A32,'BTG Cartão'!$F:$F,E$4,'BTG Cartão'!$D:$D,"saída")),0)</f>
        <v/>
      </c>
      <c r="F32" s="9">
        <f>IFERROR(-(SUMIFS('Itaú CC'!$C:$C,'Itaú CC'!$E:$E,$A32,'Itaú CC'!$F:$F,F$4,'Itaú CC'!$D:$D,"saída")+SUMIFS('Itaú Cartão'!$C:$C,'Itaú Cartão'!$E:$E,$A32,'Itaú Cartão'!$F:$F,F$4,'Itaú Cartão'!$D:$D,"saída")+SUMIFS('BTG Cartão'!$C:$C,'BTG Cartão'!$E:$E,$A32,'BTG Cartão'!$F:$F,F$4,'BTG Cartão'!$D:$D,"saída")),0)</f>
        <v/>
      </c>
      <c r="G32" s="9">
        <f>IFERROR(-(SUMIFS('Itaú CC'!$C:$C,'Itaú CC'!$E:$E,$A32,'Itaú CC'!$F:$F,G$4,'Itaú CC'!$D:$D,"saída")+SUMIFS('Itaú Cartão'!$C:$C,'Itaú Cartão'!$E:$E,$A32,'Itaú Cartão'!$F:$F,G$4,'Itaú Cartão'!$D:$D,"saída")+SUMIFS('BTG Cartão'!$C:$C,'BTG Cartão'!$E:$E,$A32,'BTG Cartão'!$F:$F,G$4,'BTG Cartão'!$D:$D,"saída")),0)</f>
        <v/>
      </c>
      <c r="H32" s="9">
        <f>IFERROR(-(SUMIFS('Itaú CC'!$C:$C,'Itaú CC'!$E:$E,$A32,'Itaú CC'!$F:$F,H$4,'Itaú CC'!$D:$D,"saída")+SUMIFS('Itaú Cartão'!$C:$C,'Itaú Cartão'!$E:$E,$A32,'Itaú Cartão'!$F:$F,H$4,'Itaú Cartão'!$D:$D,"saída")+SUMIFS('BTG Cartão'!$C:$C,'BTG Cartão'!$E:$E,$A32,'BTG Cartão'!$F:$F,H$4,'BTG Cartão'!$D:$D,"saída")),0)</f>
        <v/>
      </c>
      <c r="I32" s="9">
        <f>IFERROR(-(SUMIFS('Itaú CC'!$C:$C,'Itaú CC'!$E:$E,$A32,'Itaú CC'!$F:$F,I$4,'Itaú CC'!$D:$D,"saída")+SUMIFS('Itaú Cartão'!$C:$C,'Itaú Cartão'!$E:$E,$A32,'Itaú Cartão'!$F:$F,I$4,'Itaú Cartão'!$D:$D,"saída")+SUMIFS('BTG Cartão'!$C:$C,'BTG Cartão'!$E:$E,$A32,'BTG Cartão'!$F:$F,I$4,'BTG Cartão'!$D:$D,"saída")),0)</f>
        <v/>
      </c>
      <c r="J32" s="9">
        <f>IFERROR(-(SUMIFS('Itaú CC'!$C:$C,'Itaú CC'!$E:$E,$A32,'Itaú CC'!$F:$F,J$4,'Itaú CC'!$D:$D,"saída")+SUMIFS('Itaú Cartão'!$C:$C,'Itaú Cartão'!$E:$E,$A32,'Itaú Cartão'!$F:$F,J$4,'Itaú Cartão'!$D:$D,"saída")+SUMIFS('BTG Cartão'!$C:$C,'BTG Cartão'!$E:$E,$A32,'BTG Cartão'!$F:$F,J$4,'BTG Cartão'!$D:$D,"saída")),0)</f>
        <v/>
      </c>
      <c r="K32" s="10">
        <f>SUM(B32:J32)</f>
        <v/>
      </c>
    </row>
    <row r="33" ht="16" customHeight="1">
      <c r="A33" s="5" t="inlineStr">
        <is>
          <t>Transporte/Táxi</t>
        </is>
      </c>
      <c r="B33" s="6">
        <f>IFERROR(-(SUMIFS('Itaú CC'!$C:$C,'Itaú CC'!$E:$E,$A33,'Itaú CC'!$F:$F,B$4,'Itaú CC'!$D:$D,"saída")+SUMIFS('Itaú Cartão'!$C:$C,'Itaú Cartão'!$E:$E,$A33,'Itaú Cartão'!$F:$F,B$4,'Itaú Cartão'!$D:$D,"saída")+SUMIFS('BTG Cartão'!$C:$C,'BTG Cartão'!$E:$E,$A33,'BTG Cartão'!$F:$F,B$4,'BTG Cartão'!$D:$D,"saída")),0)</f>
        <v/>
      </c>
      <c r="C33" s="6">
        <f>IFERROR(-(SUMIFS('Itaú CC'!$C:$C,'Itaú CC'!$E:$E,$A33,'Itaú CC'!$F:$F,C$4,'Itaú CC'!$D:$D,"saída")+SUMIFS('Itaú Cartão'!$C:$C,'Itaú Cartão'!$E:$E,$A33,'Itaú Cartão'!$F:$F,C$4,'Itaú Cartão'!$D:$D,"saída")+SUMIFS('BTG Cartão'!$C:$C,'BTG Cartão'!$E:$E,$A33,'BTG Cartão'!$F:$F,C$4,'BTG Cartão'!$D:$D,"saída")),0)</f>
        <v/>
      </c>
      <c r="D33" s="6">
        <f>IFERROR(-(SUMIFS('Itaú CC'!$C:$C,'Itaú CC'!$E:$E,$A33,'Itaú CC'!$F:$F,D$4,'Itaú CC'!$D:$D,"saída")+SUMIFS('Itaú Cartão'!$C:$C,'Itaú Cartão'!$E:$E,$A33,'Itaú Cartão'!$F:$F,D$4,'Itaú Cartão'!$D:$D,"saída")+SUMIFS('BTG Cartão'!$C:$C,'BTG Cartão'!$E:$E,$A33,'BTG Cartão'!$F:$F,D$4,'BTG Cartão'!$D:$D,"saída")),0)</f>
        <v/>
      </c>
      <c r="E33" s="6">
        <f>IFERROR(-(SUMIFS('Itaú CC'!$C:$C,'Itaú CC'!$E:$E,$A33,'Itaú CC'!$F:$F,E$4,'Itaú CC'!$D:$D,"saída")+SUMIFS('Itaú Cartão'!$C:$C,'Itaú Cartão'!$E:$E,$A33,'Itaú Cartão'!$F:$F,E$4,'Itaú Cartão'!$D:$D,"saída")+SUMIFS('BTG Cartão'!$C:$C,'BTG Cartão'!$E:$E,$A33,'BTG Cartão'!$F:$F,E$4,'BTG Cartão'!$D:$D,"saída")),0)</f>
        <v/>
      </c>
      <c r="F33" s="6">
        <f>IFERROR(-(SUMIFS('Itaú CC'!$C:$C,'Itaú CC'!$E:$E,$A33,'Itaú CC'!$F:$F,F$4,'Itaú CC'!$D:$D,"saída")+SUMIFS('Itaú Cartão'!$C:$C,'Itaú Cartão'!$E:$E,$A33,'Itaú Cartão'!$F:$F,F$4,'Itaú Cartão'!$D:$D,"saída")+SUMIFS('BTG Cartão'!$C:$C,'BTG Cartão'!$E:$E,$A33,'BTG Cartão'!$F:$F,F$4,'BTG Cartão'!$D:$D,"saída")),0)</f>
        <v/>
      </c>
      <c r="G33" s="6">
        <f>IFERROR(-(SUMIFS('Itaú CC'!$C:$C,'Itaú CC'!$E:$E,$A33,'Itaú CC'!$F:$F,G$4,'Itaú CC'!$D:$D,"saída")+SUMIFS('Itaú Cartão'!$C:$C,'Itaú Cartão'!$E:$E,$A33,'Itaú Cartão'!$F:$F,G$4,'Itaú Cartão'!$D:$D,"saída")+SUMIFS('BTG Cartão'!$C:$C,'BTG Cartão'!$E:$E,$A33,'BTG Cartão'!$F:$F,G$4,'BTG Cartão'!$D:$D,"saída")),0)</f>
        <v/>
      </c>
      <c r="H33" s="6">
        <f>IFERROR(-(SUMIFS('Itaú CC'!$C:$C,'Itaú CC'!$E:$E,$A33,'Itaú CC'!$F:$F,H$4,'Itaú CC'!$D:$D,"saída")+SUMIFS('Itaú Cartão'!$C:$C,'Itaú Cartão'!$E:$E,$A33,'Itaú Cartão'!$F:$F,H$4,'Itaú Cartão'!$D:$D,"saída")+SUMIFS('BTG Cartão'!$C:$C,'BTG Cartão'!$E:$E,$A33,'BTG Cartão'!$F:$F,H$4,'BTG Cartão'!$D:$D,"saída")),0)</f>
        <v/>
      </c>
      <c r="I33" s="6">
        <f>IFERROR(-(SUMIFS('Itaú CC'!$C:$C,'Itaú CC'!$E:$E,$A33,'Itaú CC'!$F:$F,I$4,'Itaú CC'!$D:$D,"saída")+SUMIFS('Itaú Cartão'!$C:$C,'Itaú Cartão'!$E:$E,$A33,'Itaú Cartão'!$F:$F,I$4,'Itaú Cartão'!$D:$D,"saída")+SUMIFS('BTG Cartão'!$C:$C,'BTG Cartão'!$E:$E,$A33,'BTG Cartão'!$F:$F,I$4,'BTG Cartão'!$D:$D,"saída")),0)</f>
        <v/>
      </c>
      <c r="J33" s="6">
        <f>IFERROR(-(SUMIFS('Itaú CC'!$C:$C,'Itaú CC'!$E:$E,$A33,'Itaú CC'!$F:$F,J$4,'Itaú CC'!$D:$D,"saída")+SUMIFS('Itaú Cartão'!$C:$C,'Itaú Cartão'!$E:$E,$A33,'Itaú Cartão'!$F:$F,J$4,'Itaú Cartão'!$D:$D,"saída")+SUMIFS('BTG Cartão'!$C:$C,'BTG Cartão'!$E:$E,$A33,'BTG Cartão'!$F:$F,J$4,'BTG Cartão'!$D:$D,"saída")),0)</f>
        <v/>
      </c>
      <c r="K33" s="7">
        <f>SUM(B33:J33)</f>
        <v/>
      </c>
    </row>
    <row r="34" ht="16" customHeight="1">
      <c r="A34" s="8" t="inlineStr">
        <is>
          <t>Viagens/Passagens</t>
        </is>
      </c>
      <c r="B34" s="9">
        <f>IFERROR(-(SUMIFS('Itaú CC'!$C:$C,'Itaú CC'!$E:$E,$A34,'Itaú CC'!$F:$F,B$4,'Itaú CC'!$D:$D,"saída")+SUMIFS('Itaú Cartão'!$C:$C,'Itaú Cartão'!$E:$E,$A34,'Itaú Cartão'!$F:$F,B$4,'Itaú Cartão'!$D:$D,"saída")+SUMIFS('BTG Cartão'!$C:$C,'BTG Cartão'!$E:$E,$A34,'BTG Cartão'!$F:$F,B$4,'BTG Cartão'!$D:$D,"saída")),0)</f>
        <v/>
      </c>
      <c r="C34" s="9">
        <f>IFERROR(-(SUMIFS('Itaú CC'!$C:$C,'Itaú CC'!$E:$E,$A34,'Itaú CC'!$F:$F,C$4,'Itaú CC'!$D:$D,"saída")+SUMIFS('Itaú Cartão'!$C:$C,'Itaú Cartão'!$E:$E,$A34,'Itaú Cartão'!$F:$F,C$4,'Itaú Cartão'!$D:$D,"saída")+SUMIFS('BTG Cartão'!$C:$C,'BTG Cartão'!$E:$E,$A34,'BTG Cartão'!$F:$F,C$4,'BTG Cartão'!$D:$D,"saída")),0)</f>
        <v/>
      </c>
      <c r="D34" s="9">
        <f>IFERROR(-(SUMIFS('Itaú CC'!$C:$C,'Itaú CC'!$E:$E,$A34,'Itaú CC'!$F:$F,D$4,'Itaú CC'!$D:$D,"saída")+SUMIFS('Itaú Cartão'!$C:$C,'Itaú Cartão'!$E:$E,$A34,'Itaú Cartão'!$F:$F,D$4,'Itaú Cartão'!$D:$D,"saída")+SUMIFS('BTG Cartão'!$C:$C,'BTG Cartão'!$E:$E,$A34,'BTG Cartão'!$F:$F,D$4,'BTG Cartão'!$D:$D,"saída")),0)</f>
        <v/>
      </c>
      <c r="E34" s="9">
        <f>IFERROR(-(SUMIFS('Itaú CC'!$C:$C,'Itaú CC'!$E:$E,$A34,'Itaú CC'!$F:$F,E$4,'Itaú CC'!$D:$D,"saída")+SUMIFS('Itaú Cartão'!$C:$C,'Itaú Cartão'!$E:$E,$A34,'Itaú Cartão'!$F:$F,E$4,'Itaú Cartão'!$D:$D,"saída")+SUMIFS('BTG Cartão'!$C:$C,'BTG Cartão'!$E:$E,$A34,'BTG Cartão'!$F:$F,E$4,'BTG Cartão'!$D:$D,"saída")),0)</f>
        <v/>
      </c>
      <c r="F34" s="9">
        <f>IFERROR(-(SUMIFS('Itaú CC'!$C:$C,'Itaú CC'!$E:$E,$A34,'Itaú CC'!$F:$F,F$4,'Itaú CC'!$D:$D,"saída")+SUMIFS('Itaú Cartão'!$C:$C,'Itaú Cartão'!$E:$E,$A34,'Itaú Cartão'!$F:$F,F$4,'Itaú Cartão'!$D:$D,"saída")+SUMIFS('BTG Cartão'!$C:$C,'BTG Cartão'!$E:$E,$A34,'BTG Cartão'!$F:$F,F$4,'BTG Cartão'!$D:$D,"saída")),0)</f>
        <v/>
      </c>
      <c r="G34" s="9">
        <f>IFERROR(-(SUMIFS('Itaú CC'!$C:$C,'Itaú CC'!$E:$E,$A34,'Itaú CC'!$F:$F,G$4,'Itaú CC'!$D:$D,"saída")+SUMIFS('Itaú Cartão'!$C:$C,'Itaú Cartão'!$E:$E,$A34,'Itaú Cartão'!$F:$F,G$4,'Itaú Cartão'!$D:$D,"saída")+SUMIFS('BTG Cartão'!$C:$C,'BTG Cartão'!$E:$E,$A34,'BTG Cartão'!$F:$F,G$4,'BTG Cartão'!$D:$D,"saída")),0)</f>
        <v/>
      </c>
      <c r="H34" s="9">
        <f>IFERROR(-(SUMIFS('Itaú CC'!$C:$C,'Itaú CC'!$E:$E,$A34,'Itaú CC'!$F:$F,H$4,'Itaú CC'!$D:$D,"saída")+SUMIFS('Itaú Cartão'!$C:$C,'Itaú Cartão'!$E:$E,$A34,'Itaú Cartão'!$F:$F,H$4,'Itaú Cartão'!$D:$D,"saída")+SUMIFS('BTG Cartão'!$C:$C,'BTG Cartão'!$E:$E,$A34,'BTG Cartão'!$F:$F,H$4,'BTG Cartão'!$D:$D,"saída")),0)</f>
        <v/>
      </c>
      <c r="I34" s="9">
        <f>IFERROR(-(SUMIFS('Itaú CC'!$C:$C,'Itaú CC'!$E:$E,$A34,'Itaú CC'!$F:$F,I$4,'Itaú CC'!$D:$D,"saída")+SUMIFS('Itaú Cartão'!$C:$C,'Itaú Cartão'!$E:$E,$A34,'Itaú Cartão'!$F:$F,I$4,'Itaú Cartão'!$D:$D,"saída")+SUMIFS('BTG Cartão'!$C:$C,'BTG Cartão'!$E:$E,$A34,'BTG Cartão'!$F:$F,I$4,'BTG Cartão'!$D:$D,"saída")),0)</f>
        <v/>
      </c>
      <c r="J34" s="9">
        <f>IFERROR(-(SUMIFS('Itaú CC'!$C:$C,'Itaú CC'!$E:$E,$A34,'Itaú CC'!$F:$F,J$4,'Itaú CC'!$D:$D,"saída")+SUMIFS('Itaú Cartão'!$C:$C,'Itaú Cartão'!$E:$E,$A34,'Itaú Cartão'!$F:$F,J$4,'Itaú Cartão'!$D:$D,"saída")+SUMIFS('BTG Cartão'!$C:$C,'BTG Cartão'!$E:$E,$A34,'BTG Cartão'!$F:$F,J$4,'BTG Cartão'!$D:$D,"saída")),0)</f>
        <v/>
      </c>
      <c r="K34" s="10">
        <f>SUM(B34:J34)</f>
        <v/>
      </c>
    </row>
    <row r="35" ht="16" customHeight="1">
      <c r="A35" s="5" t="inlineStr">
        <is>
          <t>Vinho</t>
        </is>
      </c>
      <c r="B35" s="6">
        <f>IFERROR(-(SUMIFS('Itaú CC'!$C:$C,'Itaú CC'!$E:$E,$A35,'Itaú CC'!$F:$F,B$4,'Itaú CC'!$D:$D,"saída")+SUMIFS('Itaú Cartão'!$C:$C,'Itaú Cartão'!$E:$E,$A35,'Itaú Cartão'!$F:$F,B$4,'Itaú Cartão'!$D:$D,"saída")+SUMIFS('BTG Cartão'!$C:$C,'BTG Cartão'!$E:$E,$A35,'BTG Cartão'!$F:$F,B$4,'BTG Cartão'!$D:$D,"saída")),0)</f>
        <v/>
      </c>
      <c r="C35" s="6">
        <f>IFERROR(-(SUMIFS('Itaú CC'!$C:$C,'Itaú CC'!$E:$E,$A35,'Itaú CC'!$F:$F,C$4,'Itaú CC'!$D:$D,"saída")+SUMIFS('Itaú Cartão'!$C:$C,'Itaú Cartão'!$E:$E,$A35,'Itaú Cartão'!$F:$F,C$4,'Itaú Cartão'!$D:$D,"saída")+SUMIFS('BTG Cartão'!$C:$C,'BTG Cartão'!$E:$E,$A35,'BTG Cartão'!$F:$F,C$4,'BTG Cartão'!$D:$D,"saída")),0)</f>
        <v/>
      </c>
      <c r="D35" s="6">
        <f>IFERROR(-(SUMIFS('Itaú CC'!$C:$C,'Itaú CC'!$E:$E,$A35,'Itaú CC'!$F:$F,D$4,'Itaú CC'!$D:$D,"saída")+SUMIFS('Itaú Cartão'!$C:$C,'Itaú Cartão'!$E:$E,$A35,'Itaú Cartão'!$F:$F,D$4,'Itaú Cartão'!$D:$D,"saída")+SUMIFS('BTG Cartão'!$C:$C,'BTG Cartão'!$E:$E,$A35,'BTG Cartão'!$F:$F,D$4,'BTG Cartão'!$D:$D,"saída")),0)</f>
        <v/>
      </c>
      <c r="E35" s="6">
        <f>IFERROR(-(SUMIFS('Itaú CC'!$C:$C,'Itaú CC'!$E:$E,$A35,'Itaú CC'!$F:$F,E$4,'Itaú CC'!$D:$D,"saída")+SUMIFS('Itaú Cartão'!$C:$C,'Itaú Cartão'!$E:$E,$A35,'Itaú Cartão'!$F:$F,E$4,'Itaú Cartão'!$D:$D,"saída")+SUMIFS('BTG Cartão'!$C:$C,'BTG Cartão'!$E:$E,$A35,'BTG Cartão'!$F:$F,E$4,'BTG Cartão'!$D:$D,"saída")),0)</f>
        <v/>
      </c>
      <c r="F35" s="6">
        <f>IFERROR(-(SUMIFS('Itaú CC'!$C:$C,'Itaú CC'!$E:$E,$A35,'Itaú CC'!$F:$F,F$4,'Itaú CC'!$D:$D,"saída")+SUMIFS('Itaú Cartão'!$C:$C,'Itaú Cartão'!$E:$E,$A35,'Itaú Cartão'!$F:$F,F$4,'Itaú Cartão'!$D:$D,"saída")+SUMIFS('BTG Cartão'!$C:$C,'BTG Cartão'!$E:$E,$A35,'BTG Cartão'!$F:$F,F$4,'BTG Cartão'!$D:$D,"saída")),0)</f>
        <v/>
      </c>
      <c r="G35" s="6">
        <f>IFERROR(-(SUMIFS('Itaú CC'!$C:$C,'Itaú CC'!$E:$E,$A35,'Itaú CC'!$F:$F,G$4,'Itaú CC'!$D:$D,"saída")+SUMIFS('Itaú Cartão'!$C:$C,'Itaú Cartão'!$E:$E,$A35,'Itaú Cartão'!$F:$F,G$4,'Itaú Cartão'!$D:$D,"saída")+SUMIFS('BTG Cartão'!$C:$C,'BTG Cartão'!$E:$E,$A35,'BTG Cartão'!$F:$F,G$4,'BTG Cartão'!$D:$D,"saída")),0)</f>
        <v/>
      </c>
      <c r="H35" s="6">
        <f>IFERROR(-(SUMIFS('Itaú CC'!$C:$C,'Itaú CC'!$E:$E,$A35,'Itaú CC'!$F:$F,H$4,'Itaú CC'!$D:$D,"saída")+SUMIFS('Itaú Cartão'!$C:$C,'Itaú Cartão'!$E:$E,$A35,'Itaú Cartão'!$F:$F,H$4,'Itaú Cartão'!$D:$D,"saída")+SUMIFS('BTG Cartão'!$C:$C,'BTG Cartão'!$E:$E,$A35,'BTG Cartão'!$F:$F,H$4,'BTG Cartão'!$D:$D,"saída")),0)</f>
        <v/>
      </c>
      <c r="I35" s="6">
        <f>IFERROR(-(SUMIFS('Itaú CC'!$C:$C,'Itaú CC'!$E:$E,$A35,'Itaú CC'!$F:$F,I$4,'Itaú CC'!$D:$D,"saída")+SUMIFS('Itaú Cartão'!$C:$C,'Itaú Cartão'!$E:$E,$A35,'Itaú Cartão'!$F:$F,I$4,'Itaú Cartão'!$D:$D,"saída")+SUMIFS('BTG Cartão'!$C:$C,'BTG Cartão'!$E:$E,$A35,'BTG Cartão'!$F:$F,I$4,'BTG Cartão'!$D:$D,"saída")),0)</f>
        <v/>
      </c>
      <c r="J35" s="6">
        <f>IFERROR(-(SUMIFS('Itaú CC'!$C:$C,'Itaú CC'!$E:$E,$A35,'Itaú CC'!$F:$F,J$4,'Itaú CC'!$D:$D,"saída")+SUMIFS('Itaú Cartão'!$C:$C,'Itaú Cartão'!$E:$E,$A35,'Itaú Cartão'!$F:$F,J$4,'Itaú Cartão'!$D:$D,"saída")+SUMIFS('BTG Cartão'!$C:$C,'BTG Cartão'!$E:$E,$A35,'BTG Cartão'!$F:$F,J$4,'BTG Cartão'!$D:$D,"saída")),0)</f>
        <v/>
      </c>
      <c r="K35" s="7">
        <f>SUM(B35:J35)</f>
        <v/>
      </c>
    </row>
    <row r="36" ht="16" customHeight="1">
      <c r="A36" s="8" t="inlineStr">
        <is>
          <t>⚠ LR-PR</t>
        </is>
      </c>
      <c r="B36" s="9">
        <f>IFERROR(-(SUMIFS('Itaú CC'!$C:$C,'Itaú CC'!$E:$E,$A36,'Itaú CC'!$F:$F,B$4,'Itaú CC'!$D:$D,"saída")+SUMIFS('Itaú Cartão'!$C:$C,'Itaú Cartão'!$E:$E,$A36,'Itaú Cartão'!$F:$F,B$4,'Itaú Cartão'!$D:$D,"saída")+SUMIFS('BTG Cartão'!$C:$C,'BTG Cartão'!$E:$E,$A36,'BTG Cartão'!$F:$F,B$4,'BTG Cartão'!$D:$D,"saída")),0)</f>
        <v/>
      </c>
      <c r="C36" s="9">
        <f>IFERROR(-(SUMIFS('Itaú CC'!$C:$C,'Itaú CC'!$E:$E,$A36,'Itaú CC'!$F:$F,C$4,'Itaú CC'!$D:$D,"saída")+SUMIFS('Itaú Cartão'!$C:$C,'Itaú Cartão'!$E:$E,$A36,'Itaú Cartão'!$F:$F,C$4,'Itaú Cartão'!$D:$D,"saída")+SUMIFS('BTG Cartão'!$C:$C,'BTG Cartão'!$E:$E,$A36,'BTG Cartão'!$F:$F,C$4,'BTG Cartão'!$D:$D,"saída")),0)</f>
        <v/>
      </c>
      <c r="D36" s="9">
        <f>IFERROR(-(SUMIFS('Itaú CC'!$C:$C,'Itaú CC'!$E:$E,$A36,'Itaú CC'!$F:$F,D$4,'Itaú CC'!$D:$D,"saída")+SUMIFS('Itaú Cartão'!$C:$C,'Itaú Cartão'!$E:$E,$A36,'Itaú Cartão'!$F:$F,D$4,'Itaú Cartão'!$D:$D,"saída")+SUMIFS('BTG Cartão'!$C:$C,'BTG Cartão'!$E:$E,$A36,'BTG Cartão'!$F:$F,D$4,'BTG Cartão'!$D:$D,"saída")),0)</f>
        <v/>
      </c>
      <c r="E36" s="9">
        <f>IFERROR(-(SUMIFS('Itaú CC'!$C:$C,'Itaú CC'!$E:$E,$A36,'Itaú CC'!$F:$F,E$4,'Itaú CC'!$D:$D,"saída")+SUMIFS('Itaú Cartão'!$C:$C,'Itaú Cartão'!$E:$E,$A36,'Itaú Cartão'!$F:$F,E$4,'Itaú Cartão'!$D:$D,"saída")+SUMIFS('BTG Cartão'!$C:$C,'BTG Cartão'!$E:$E,$A36,'BTG Cartão'!$F:$F,E$4,'BTG Cartão'!$D:$D,"saída")),0)</f>
        <v/>
      </c>
      <c r="F36" s="9">
        <f>IFERROR(-(SUMIFS('Itaú CC'!$C:$C,'Itaú CC'!$E:$E,$A36,'Itaú CC'!$F:$F,F$4,'Itaú CC'!$D:$D,"saída")+SUMIFS('Itaú Cartão'!$C:$C,'Itaú Cartão'!$E:$E,$A36,'Itaú Cartão'!$F:$F,F$4,'Itaú Cartão'!$D:$D,"saída")+SUMIFS('BTG Cartão'!$C:$C,'BTG Cartão'!$E:$E,$A36,'BTG Cartão'!$F:$F,F$4,'BTG Cartão'!$D:$D,"saída")),0)</f>
        <v/>
      </c>
      <c r="G36" s="9">
        <f>IFERROR(-(SUMIFS('Itaú CC'!$C:$C,'Itaú CC'!$E:$E,$A36,'Itaú CC'!$F:$F,G$4,'Itaú CC'!$D:$D,"saída")+SUMIFS('Itaú Cartão'!$C:$C,'Itaú Cartão'!$E:$E,$A36,'Itaú Cartão'!$F:$F,G$4,'Itaú Cartão'!$D:$D,"saída")+SUMIFS('BTG Cartão'!$C:$C,'BTG Cartão'!$E:$E,$A36,'BTG Cartão'!$F:$F,G$4,'BTG Cartão'!$D:$D,"saída")),0)</f>
        <v/>
      </c>
      <c r="H36" s="9">
        <f>IFERROR(-(SUMIFS('Itaú CC'!$C:$C,'Itaú CC'!$E:$E,$A36,'Itaú CC'!$F:$F,H$4,'Itaú CC'!$D:$D,"saída")+SUMIFS('Itaú Cartão'!$C:$C,'Itaú Cartão'!$E:$E,$A36,'Itaú Cartão'!$F:$F,H$4,'Itaú Cartão'!$D:$D,"saída")+SUMIFS('BTG Cartão'!$C:$C,'BTG Cartão'!$E:$E,$A36,'BTG Cartão'!$F:$F,H$4,'BTG Cartão'!$D:$D,"saída")),0)</f>
        <v/>
      </c>
      <c r="I36" s="9">
        <f>IFERROR(-(SUMIFS('Itaú CC'!$C:$C,'Itaú CC'!$E:$E,$A36,'Itaú CC'!$F:$F,I$4,'Itaú CC'!$D:$D,"saída")+SUMIFS('Itaú Cartão'!$C:$C,'Itaú Cartão'!$E:$E,$A36,'Itaú Cartão'!$F:$F,I$4,'Itaú Cartão'!$D:$D,"saída")+SUMIFS('BTG Cartão'!$C:$C,'BTG Cartão'!$E:$E,$A36,'BTG Cartão'!$F:$F,I$4,'BTG Cartão'!$D:$D,"saída")),0)</f>
        <v/>
      </c>
      <c r="J36" s="9">
        <f>IFERROR(-(SUMIFS('Itaú CC'!$C:$C,'Itaú CC'!$E:$E,$A36,'Itaú CC'!$F:$F,J$4,'Itaú CC'!$D:$D,"saída")+SUMIFS('Itaú Cartão'!$C:$C,'Itaú Cartão'!$E:$E,$A36,'Itaú Cartão'!$F:$F,J$4,'Itaú Cartão'!$D:$D,"saída")+SUMIFS('BTG Cartão'!$C:$C,'BTG Cartão'!$E:$E,$A36,'BTG Cartão'!$F:$F,J$4,'BTG Cartão'!$D:$D,"saída")),0)</f>
        <v/>
      </c>
      <c r="K36" s="10">
        <f>SUM(B36:J36)</f>
        <v/>
      </c>
    </row>
    <row r="37" ht="20" customHeight="1">
      <c r="A37" s="11" t="inlineStr">
        <is>
          <t>TOTAL</t>
        </is>
      </c>
      <c r="B37" s="12">
        <f>SUM(B5:B36)</f>
        <v/>
      </c>
      <c r="C37" s="12">
        <f>SUM(C5:C36)</f>
        <v/>
      </c>
      <c r="D37" s="12">
        <f>SUM(D5:D36)</f>
        <v/>
      </c>
      <c r="E37" s="12">
        <f>SUM(E5:E36)</f>
        <v/>
      </c>
      <c r="F37" s="12">
        <f>SUM(F5:F36)</f>
        <v/>
      </c>
      <c r="G37" s="12">
        <f>SUM(G5:G36)</f>
        <v/>
      </c>
      <c r="H37" s="12">
        <f>SUM(H5:H36)</f>
        <v/>
      </c>
      <c r="I37" s="12">
        <f>SUM(I5:I36)</f>
        <v/>
      </c>
      <c r="J37" s="12">
        <f>SUM(J5:J36)</f>
        <v/>
      </c>
      <c r="K37" s="12">
        <f>SUM(K5:K36)</f>
        <v/>
      </c>
    </row>
    <row r="39" ht="22" customHeight="1">
      <c r="A39" s="2" t="inlineStr">
        <is>
          <t>▲  ENTRADAS POR CATEGORIA</t>
        </is>
      </c>
    </row>
    <row r="40" ht="18" customHeight="1">
      <c r="A40" s="3" t="inlineStr">
        <is>
          <t>Categoria</t>
        </is>
      </c>
      <c r="B40" s="4" t="inlineStr">
        <is>
          <t>2025-07</t>
        </is>
      </c>
      <c r="C40" s="4" t="inlineStr">
        <is>
          <t>2025-08</t>
        </is>
      </c>
      <c r="D40" s="4" t="inlineStr">
        <is>
          <t>2025-09</t>
        </is>
      </c>
      <c r="E40" s="4" t="inlineStr">
        <is>
          <t>2025-10</t>
        </is>
      </c>
      <c r="F40" s="4" t="inlineStr">
        <is>
          <t>2025-11</t>
        </is>
      </c>
      <c r="G40" s="4" t="inlineStr">
        <is>
          <t>2025-12</t>
        </is>
      </c>
      <c r="H40" s="4" t="inlineStr">
        <is>
          <t>2026-01</t>
        </is>
      </c>
      <c r="I40" s="4" t="inlineStr">
        <is>
          <t>2026-02</t>
        </is>
      </c>
      <c r="J40" s="4" t="inlineStr">
        <is>
          <t>2026-03</t>
        </is>
      </c>
      <c r="K40" s="4" t="inlineStr">
        <is>
          <t>Total</t>
        </is>
      </c>
    </row>
    <row r="41" ht="16" customHeight="1">
      <c r="A41" s="5" t="inlineStr">
        <is>
          <t>Dividendo Semestral Nord</t>
        </is>
      </c>
      <c r="B41" s="6">
        <f>IFERROR(SUMIFS('Itaú CC'!$C:$C,'Itaú CC'!$E:$E,$A41,'Itaú CC'!$F:$F,B$40,'Itaú CC'!$D:$D,"entrada")+SUMIFS('Itaú Cartão'!$C:$C,'Itaú Cartão'!$E:$E,$A41,'Itaú Cartão'!$F:$F,B$40,'Itaú Cartão'!$D:$D,"entrada")+SUMIFS('BTG Cartão'!$C:$C,'BTG Cartão'!$E:$E,$A41,'BTG Cartão'!$F:$F,B$40,'BTG Cartão'!$D:$D,"entrada"),0)</f>
        <v/>
      </c>
      <c r="C41" s="6">
        <f>IFERROR(SUMIFS('Itaú CC'!$C:$C,'Itaú CC'!$E:$E,$A41,'Itaú CC'!$F:$F,C$40,'Itaú CC'!$D:$D,"entrada")+SUMIFS('Itaú Cartão'!$C:$C,'Itaú Cartão'!$E:$E,$A41,'Itaú Cartão'!$F:$F,C$40,'Itaú Cartão'!$D:$D,"entrada")+SUMIFS('BTG Cartão'!$C:$C,'BTG Cartão'!$E:$E,$A41,'BTG Cartão'!$F:$F,C$40,'BTG Cartão'!$D:$D,"entrada"),0)</f>
        <v/>
      </c>
      <c r="D41" s="6">
        <f>IFERROR(SUMIFS('Itaú CC'!$C:$C,'Itaú CC'!$E:$E,$A41,'Itaú CC'!$F:$F,D$40,'Itaú CC'!$D:$D,"entrada")+SUMIFS('Itaú Cartão'!$C:$C,'Itaú Cartão'!$E:$E,$A41,'Itaú Cartão'!$F:$F,D$40,'Itaú Cartão'!$D:$D,"entrada")+SUMIFS('BTG Cartão'!$C:$C,'BTG Cartão'!$E:$E,$A41,'BTG Cartão'!$F:$F,D$40,'BTG Cartão'!$D:$D,"entrada"),0)</f>
        <v/>
      </c>
      <c r="E41" s="6">
        <f>IFERROR(SUMIFS('Itaú CC'!$C:$C,'Itaú CC'!$E:$E,$A41,'Itaú CC'!$F:$F,E$40,'Itaú CC'!$D:$D,"entrada")+SUMIFS('Itaú Cartão'!$C:$C,'Itaú Cartão'!$E:$E,$A41,'Itaú Cartão'!$F:$F,E$40,'Itaú Cartão'!$D:$D,"entrada")+SUMIFS('BTG Cartão'!$C:$C,'BTG Cartão'!$E:$E,$A41,'BTG Cartão'!$F:$F,E$40,'BTG Cartão'!$D:$D,"entrada"),0)</f>
        <v/>
      </c>
      <c r="F41" s="6">
        <f>IFERROR(SUMIFS('Itaú CC'!$C:$C,'Itaú CC'!$E:$E,$A41,'Itaú CC'!$F:$F,F$40,'Itaú CC'!$D:$D,"entrada")+SUMIFS('Itaú Cartão'!$C:$C,'Itaú Cartão'!$E:$E,$A41,'Itaú Cartão'!$F:$F,F$40,'Itaú Cartão'!$D:$D,"entrada")+SUMIFS('BTG Cartão'!$C:$C,'BTG Cartão'!$E:$E,$A41,'BTG Cartão'!$F:$F,F$40,'BTG Cartão'!$D:$D,"entrada"),0)</f>
        <v/>
      </c>
      <c r="G41" s="6">
        <f>IFERROR(SUMIFS('Itaú CC'!$C:$C,'Itaú CC'!$E:$E,$A41,'Itaú CC'!$F:$F,G$40,'Itaú CC'!$D:$D,"entrada")+SUMIFS('Itaú Cartão'!$C:$C,'Itaú Cartão'!$E:$E,$A41,'Itaú Cartão'!$F:$F,G$40,'Itaú Cartão'!$D:$D,"entrada")+SUMIFS('BTG Cartão'!$C:$C,'BTG Cartão'!$E:$E,$A41,'BTG Cartão'!$F:$F,G$40,'BTG Cartão'!$D:$D,"entrada"),0)</f>
        <v/>
      </c>
      <c r="H41" s="6">
        <f>IFERROR(SUMIFS('Itaú CC'!$C:$C,'Itaú CC'!$E:$E,$A41,'Itaú CC'!$F:$F,H$40,'Itaú CC'!$D:$D,"entrada")+SUMIFS('Itaú Cartão'!$C:$C,'Itaú Cartão'!$E:$E,$A41,'Itaú Cartão'!$F:$F,H$40,'Itaú Cartão'!$D:$D,"entrada")+SUMIFS('BTG Cartão'!$C:$C,'BTG Cartão'!$E:$E,$A41,'BTG Cartão'!$F:$F,H$40,'BTG Cartão'!$D:$D,"entrada"),0)</f>
        <v/>
      </c>
      <c r="I41" s="6">
        <f>IFERROR(SUMIFS('Itaú CC'!$C:$C,'Itaú CC'!$E:$E,$A41,'Itaú CC'!$F:$F,I$40,'Itaú CC'!$D:$D,"entrada")+SUMIFS('Itaú Cartão'!$C:$C,'Itaú Cartão'!$E:$E,$A41,'Itaú Cartão'!$F:$F,I$40,'Itaú Cartão'!$D:$D,"entrada")+SUMIFS('BTG Cartão'!$C:$C,'BTG Cartão'!$E:$E,$A41,'BTG Cartão'!$F:$F,I$40,'BTG Cartão'!$D:$D,"entrada"),0)</f>
        <v/>
      </c>
      <c r="J41" s="6">
        <f>IFERROR(SUMIFS('Itaú CC'!$C:$C,'Itaú CC'!$E:$E,$A41,'Itaú CC'!$F:$F,J$40,'Itaú CC'!$D:$D,"entrada")+SUMIFS('Itaú Cartão'!$C:$C,'Itaú Cartão'!$E:$E,$A41,'Itaú Cartão'!$F:$F,J$40,'Itaú Cartão'!$D:$D,"entrada")+SUMIFS('BTG Cartão'!$C:$C,'BTG Cartão'!$E:$E,$A41,'BTG Cartão'!$F:$F,J$40,'BTG Cartão'!$D:$D,"entrada"),0)</f>
        <v/>
      </c>
      <c r="K41" s="7">
        <f>SUM(B41:J41)</f>
        <v/>
      </c>
    </row>
    <row r="42" ht="16" customHeight="1">
      <c r="A42" s="8" t="inlineStr">
        <is>
          <t>Dividendos Nord</t>
        </is>
      </c>
      <c r="B42" s="9">
        <f>IFERROR(SUMIFS('Itaú CC'!$C:$C,'Itaú CC'!$E:$E,$A42,'Itaú CC'!$F:$F,B$40,'Itaú CC'!$D:$D,"entrada")+SUMIFS('Itaú Cartão'!$C:$C,'Itaú Cartão'!$E:$E,$A42,'Itaú Cartão'!$F:$F,B$40,'Itaú Cartão'!$D:$D,"entrada")+SUMIFS('BTG Cartão'!$C:$C,'BTG Cartão'!$E:$E,$A42,'BTG Cartão'!$F:$F,B$40,'BTG Cartão'!$D:$D,"entrada"),0)</f>
        <v/>
      </c>
      <c r="C42" s="9">
        <f>IFERROR(SUMIFS('Itaú CC'!$C:$C,'Itaú CC'!$E:$E,$A42,'Itaú CC'!$F:$F,C$40,'Itaú CC'!$D:$D,"entrada")+SUMIFS('Itaú Cartão'!$C:$C,'Itaú Cartão'!$E:$E,$A42,'Itaú Cartão'!$F:$F,C$40,'Itaú Cartão'!$D:$D,"entrada")+SUMIFS('BTG Cartão'!$C:$C,'BTG Cartão'!$E:$E,$A42,'BTG Cartão'!$F:$F,C$40,'BTG Cartão'!$D:$D,"entrada"),0)</f>
        <v/>
      </c>
      <c r="D42" s="9">
        <f>IFERROR(SUMIFS('Itaú CC'!$C:$C,'Itaú CC'!$E:$E,$A42,'Itaú CC'!$F:$F,D$40,'Itaú CC'!$D:$D,"entrada")+SUMIFS('Itaú Cartão'!$C:$C,'Itaú Cartão'!$E:$E,$A42,'Itaú Cartão'!$F:$F,D$40,'Itaú Cartão'!$D:$D,"entrada")+SUMIFS('BTG Cartão'!$C:$C,'BTG Cartão'!$E:$E,$A42,'BTG Cartão'!$F:$F,D$40,'BTG Cartão'!$D:$D,"entrada"),0)</f>
        <v/>
      </c>
      <c r="E42" s="9">
        <f>IFERROR(SUMIFS('Itaú CC'!$C:$C,'Itaú CC'!$E:$E,$A42,'Itaú CC'!$F:$F,E$40,'Itaú CC'!$D:$D,"entrada")+SUMIFS('Itaú Cartão'!$C:$C,'Itaú Cartão'!$E:$E,$A42,'Itaú Cartão'!$F:$F,E$40,'Itaú Cartão'!$D:$D,"entrada")+SUMIFS('BTG Cartão'!$C:$C,'BTG Cartão'!$E:$E,$A42,'BTG Cartão'!$F:$F,E$40,'BTG Cartão'!$D:$D,"entrada"),0)</f>
        <v/>
      </c>
      <c r="F42" s="9">
        <f>IFERROR(SUMIFS('Itaú CC'!$C:$C,'Itaú CC'!$E:$E,$A42,'Itaú CC'!$F:$F,F$40,'Itaú CC'!$D:$D,"entrada")+SUMIFS('Itaú Cartão'!$C:$C,'Itaú Cartão'!$E:$E,$A42,'Itaú Cartão'!$F:$F,F$40,'Itaú Cartão'!$D:$D,"entrada")+SUMIFS('BTG Cartão'!$C:$C,'BTG Cartão'!$E:$E,$A42,'BTG Cartão'!$F:$F,F$40,'BTG Cartão'!$D:$D,"entrada"),0)</f>
        <v/>
      </c>
      <c r="G42" s="9">
        <f>IFERROR(SUMIFS('Itaú CC'!$C:$C,'Itaú CC'!$E:$E,$A42,'Itaú CC'!$F:$F,G$40,'Itaú CC'!$D:$D,"entrada")+SUMIFS('Itaú Cartão'!$C:$C,'Itaú Cartão'!$E:$E,$A42,'Itaú Cartão'!$F:$F,G$40,'Itaú Cartão'!$D:$D,"entrada")+SUMIFS('BTG Cartão'!$C:$C,'BTG Cartão'!$E:$E,$A42,'BTG Cartão'!$F:$F,G$40,'BTG Cartão'!$D:$D,"entrada"),0)</f>
        <v/>
      </c>
      <c r="H42" s="9">
        <f>IFERROR(SUMIFS('Itaú CC'!$C:$C,'Itaú CC'!$E:$E,$A42,'Itaú CC'!$F:$F,H$40,'Itaú CC'!$D:$D,"entrada")+SUMIFS('Itaú Cartão'!$C:$C,'Itaú Cartão'!$E:$E,$A42,'Itaú Cartão'!$F:$F,H$40,'Itaú Cartão'!$D:$D,"entrada")+SUMIFS('BTG Cartão'!$C:$C,'BTG Cartão'!$E:$E,$A42,'BTG Cartão'!$F:$F,H$40,'BTG Cartão'!$D:$D,"entrada"),0)</f>
        <v/>
      </c>
      <c r="I42" s="9">
        <f>IFERROR(SUMIFS('Itaú CC'!$C:$C,'Itaú CC'!$E:$E,$A42,'Itaú CC'!$F:$F,I$40,'Itaú CC'!$D:$D,"entrada")+SUMIFS('Itaú Cartão'!$C:$C,'Itaú Cartão'!$E:$E,$A42,'Itaú Cartão'!$F:$F,I$40,'Itaú Cartão'!$D:$D,"entrada")+SUMIFS('BTG Cartão'!$C:$C,'BTG Cartão'!$E:$E,$A42,'BTG Cartão'!$F:$F,I$40,'BTG Cartão'!$D:$D,"entrada"),0)</f>
        <v/>
      </c>
      <c r="J42" s="9">
        <f>IFERROR(SUMIFS('Itaú CC'!$C:$C,'Itaú CC'!$E:$E,$A42,'Itaú CC'!$F:$F,J$40,'Itaú CC'!$D:$D,"entrada")+SUMIFS('Itaú Cartão'!$C:$C,'Itaú Cartão'!$E:$E,$A42,'Itaú Cartão'!$F:$F,J$40,'Itaú Cartão'!$D:$D,"entrada")+SUMIFS('BTG Cartão'!$C:$C,'BTG Cartão'!$E:$E,$A42,'BTG Cartão'!$F:$F,J$40,'BTG Cartão'!$D:$D,"entrada"),0)</f>
        <v/>
      </c>
      <c r="K42" s="10">
        <f>SUM(B42:J42)</f>
        <v/>
      </c>
    </row>
    <row r="43" ht="16" customHeight="1">
      <c r="A43" s="5" t="inlineStr">
        <is>
          <t>Outros</t>
        </is>
      </c>
      <c r="B43" s="6">
        <f>IFERROR(SUMIFS('Itaú CC'!$C:$C,'Itaú CC'!$E:$E,$A43,'Itaú CC'!$F:$F,B$40,'Itaú CC'!$D:$D,"entrada")+SUMIFS('Itaú Cartão'!$C:$C,'Itaú Cartão'!$E:$E,$A43,'Itaú Cartão'!$F:$F,B$40,'Itaú Cartão'!$D:$D,"entrada")+SUMIFS('BTG Cartão'!$C:$C,'BTG Cartão'!$E:$E,$A43,'BTG Cartão'!$F:$F,B$40,'BTG Cartão'!$D:$D,"entrada"),0)</f>
        <v/>
      </c>
      <c r="C43" s="6">
        <f>IFERROR(SUMIFS('Itaú CC'!$C:$C,'Itaú CC'!$E:$E,$A43,'Itaú CC'!$F:$F,C$40,'Itaú CC'!$D:$D,"entrada")+SUMIFS('Itaú Cartão'!$C:$C,'Itaú Cartão'!$E:$E,$A43,'Itaú Cartão'!$F:$F,C$40,'Itaú Cartão'!$D:$D,"entrada")+SUMIFS('BTG Cartão'!$C:$C,'BTG Cartão'!$E:$E,$A43,'BTG Cartão'!$F:$F,C$40,'BTG Cartão'!$D:$D,"entrada"),0)</f>
        <v/>
      </c>
      <c r="D43" s="6">
        <f>IFERROR(SUMIFS('Itaú CC'!$C:$C,'Itaú CC'!$E:$E,$A43,'Itaú CC'!$F:$F,D$40,'Itaú CC'!$D:$D,"entrada")+SUMIFS('Itaú Cartão'!$C:$C,'Itaú Cartão'!$E:$E,$A43,'Itaú Cartão'!$F:$F,D$40,'Itaú Cartão'!$D:$D,"entrada")+SUMIFS('BTG Cartão'!$C:$C,'BTG Cartão'!$E:$E,$A43,'BTG Cartão'!$F:$F,D$40,'BTG Cartão'!$D:$D,"entrada"),0)</f>
        <v/>
      </c>
      <c r="E43" s="6">
        <f>IFERROR(SUMIFS('Itaú CC'!$C:$C,'Itaú CC'!$E:$E,$A43,'Itaú CC'!$F:$F,E$40,'Itaú CC'!$D:$D,"entrada")+SUMIFS('Itaú Cartão'!$C:$C,'Itaú Cartão'!$E:$E,$A43,'Itaú Cartão'!$F:$F,E$40,'Itaú Cartão'!$D:$D,"entrada")+SUMIFS('BTG Cartão'!$C:$C,'BTG Cartão'!$E:$E,$A43,'BTG Cartão'!$F:$F,E$40,'BTG Cartão'!$D:$D,"entrada"),0)</f>
        <v/>
      </c>
      <c r="F43" s="6">
        <f>IFERROR(SUMIFS('Itaú CC'!$C:$C,'Itaú CC'!$E:$E,$A43,'Itaú CC'!$F:$F,F$40,'Itaú CC'!$D:$D,"entrada")+SUMIFS('Itaú Cartão'!$C:$C,'Itaú Cartão'!$E:$E,$A43,'Itaú Cartão'!$F:$F,F$40,'Itaú Cartão'!$D:$D,"entrada")+SUMIFS('BTG Cartão'!$C:$C,'BTG Cartão'!$E:$E,$A43,'BTG Cartão'!$F:$F,F$40,'BTG Cartão'!$D:$D,"entrada"),0)</f>
        <v/>
      </c>
      <c r="G43" s="6">
        <f>IFERROR(SUMIFS('Itaú CC'!$C:$C,'Itaú CC'!$E:$E,$A43,'Itaú CC'!$F:$F,G$40,'Itaú CC'!$D:$D,"entrada")+SUMIFS('Itaú Cartão'!$C:$C,'Itaú Cartão'!$E:$E,$A43,'Itaú Cartão'!$F:$F,G$40,'Itaú Cartão'!$D:$D,"entrada")+SUMIFS('BTG Cartão'!$C:$C,'BTG Cartão'!$E:$E,$A43,'BTG Cartão'!$F:$F,G$40,'BTG Cartão'!$D:$D,"entrada"),0)</f>
        <v/>
      </c>
      <c r="H43" s="6">
        <f>IFERROR(SUMIFS('Itaú CC'!$C:$C,'Itaú CC'!$E:$E,$A43,'Itaú CC'!$F:$F,H$40,'Itaú CC'!$D:$D,"entrada")+SUMIFS('Itaú Cartão'!$C:$C,'Itaú Cartão'!$E:$E,$A43,'Itaú Cartão'!$F:$F,H$40,'Itaú Cartão'!$D:$D,"entrada")+SUMIFS('BTG Cartão'!$C:$C,'BTG Cartão'!$E:$E,$A43,'BTG Cartão'!$F:$F,H$40,'BTG Cartão'!$D:$D,"entrada"),0)</f>
        <v/>
      </c>
      <c r="I43" s="6">
        <f>IFERROR(SUMIFS('Itaú CC'!$C:$C,'Itaú CC'!$E:$E,$A43,'Itaú CC'!$F:$F,I$40,'Itaú CC'!$D:$D,"entrada")+SUMIFS('Itaú Cartão'!$C:$C,'Itaú Cartão'!$E:$E,$A43,'Itaú Cartão'!$F:$F,I$40,'Itaú Cartão'!$D:$D,"entrada")+SUMIFS('BTG Cartão'!$C:$C,'BTG Cartão'!$E:$E,$A43,'BTG Cartão'!$F:$F,I$40,'BTG Cartão'!$D:$D,"entrada"),0)</f>
        <v/>
      </c>
      <c r="J43" s="6">
        <f>IFERROR(SUMIFS('Itaú CC'!$C:$C,'Itaú CC'!$E:$E,$A43,'Itaú CC'!$F:$F,J$40,'Itaú CC'!$D:$D,"entrada")+SUMIFS('Itaú Cartão'!$C:$C,'Itaú Cartão'!$E:$E,$A43,'Itaú Cartão'!$F:$F,J$40,'Itaú Cartão'!$D:$D,"entrada")+SUMIFS('BTG Cartão'!$C:$C,'BTG Cartão'!$E:$E,$A43,'BTG Cartão'!$F:$F,J$40,'BTG Cartão'!$D:$D,"entrada"),0)</f>
        <v/>
      </c>
      <c r="K43" s="7">
        <f>SUM(B43:J43)</f>
        <v/>
      </c>
    </row>
    <row r="44" ht="16" customHeight="1">
      <c r="A44" s="8" t="inlineStr">
        <is>
          <t>Reembolso</t>
        </is>
      </c>
      <c r="B44" s="9">
        <f>IFERROR(SUMIFS('Itaú CC'!$C:$C,'Itaú CC'!$E:$E,$A44,'Itaú CC'!$F:$F,B$40,'Itaú CC'!$D:$D,"entrada")+SUMIFS('Itaú Cartão'!$C:$C,'Itaú Cartão'!$E:$E,$A44,'Itaú Cartão'!$F:$F,B$40,'Itaú Cartão'!$D:$D,"entrada")+SUMIFS('BTG Cartão'!$C:$C,'BTG Cartão'!$E:$E,$A44,'BTG Cartão'!$F:$F,B$40,'BTG Cartão'!$D:$D,"entrada"),0)</f>
        <v/>
      </c>
      <c r="C44" s="9">
        <f>IFERROR(SUMIFS('Itaú CC'!$C:$C,'Itaú CC'!$E:$E,$A44,'Itaú CC'!$F:$F,C$40,'Itaú CC'!$D:$D,"entrada")+SUMIFS('Itaú Cartão'!$C:$C,'Itaú Cartão'!$E:$E,$A44,'Itaú Cartão'!$F:$F,C$40,'Itaú Cartão'!$D:$D,"entrada")+SUMIFS('BTG Cartão'!$C:$C,'BTG Cartão'!$E:$E,$A44,'BTG Cartão'!$F:$F,C$40,'BTG Cartão'!$D:$D,"entrada"),0)</f>
        <v/>
      </c>
      <c r="D44" s="9">
        <f>IFERROR(SUMIFS('Itaú CC'!$C:$C,'Itaú CC'!$E:$E,$A44,'Itaú CC'!$F:$F,D$40,'Itaú CC'!$D:$D,"entrada")+SUMIFS('Itaú Cartão'!$C:$C,'Itaú Cartão'!$E:$E,$A44,'Itaú Cartão'!$F:$F,D$40,'Itaú Cartão'!$D:$D,"entrada")+SUMIFS('BTG Cartão'!$C:$C,'BTG Cartão'!$E:$E,$A44,'BTG Cartão'!$F:$F,D$40,'BTG Cartão'!$D:$D,"entrada"),0)</f>
        <v/>
      </c>
      <c r="E44" s="9">
        <f>IFERROR(SUMIFS('Itaú CC'!$C:$C,'Itaú CC'!$E:$E,$A44,'Itaú CC'!$F:$F,E$40,'Itaú CC'!$D:$D,"entrada")+SUMIFS('Itaú Cartão'!$C:$C,'Itaú Cartão'!$E:$E,$A44,'Itaú Cartão'!$F:$F,E$40,'Itaú Cartão'!$D:$D,"entrada")+SUMIFS('BTG Cartão'!$C:$C,'BTG Cartão'!$E:$E,$A44,'BTG Cartão'!$F:$F,E$40,'BTG Cartão'!$D:$D,"entrada"),0)</f>
        <v/>
      </c>
      <c r="F44" s="9">
        <f>IFERROR(SUMIFS('Itaú CC'!$C:$C,'Itaú CC'!$E:$E,$A44,'Itaú CC'!$F:$F,F$40,'Itaú CC'!$D:$D,"entrada")+SUMIFS('Itaú Cartão'!$C:$C,'Itaú Cartão'!$E:$E,$A44,'Itaú Cartão'!$F:$F,F$40,'Itaú Cartão'!$D:$D,"entrada")+SUMIFS('BTG Cartão'!$C:$C,'BTG Cartão'!$E:$E,$A44,'BTG Cartão'!$F:$F,F$40,'BTG Cartão'!$D:$D,"entrada"),0)</f>
        <v/>
      </c>
      <c r="G44" s="9">
        <f>IFERROR(SUMIFS('Itaú CC'!$C:$C,'Itaú CC'!$E:$E,$A44,'Itaú CC'!$F:$F,G$40,'Itaú CC'!$D:$D,"entrada")+SUMIFS('Itaú Cartão'!$C:$C,'Itaú Cartão'!$E:$E,$A44,'Itaú Cartão'!$F:$F,G$40,'Itaú Cartão'!$D:$D,"entrada")+SUMIFS('BTG Cartão'!$C:$C,'BTG Cartão'!$E:$E,$A44,'BTG Cartão'!$F:$F,G$40,'BTG Cartão'!$D:$D,"entrada"),0)</f>
        <v/>
      </c>
      <c r="H44" s="9">
        <f>IFERROR(SUMIFS('Itaú CC'!$C:$C,'Itaú CC'!$E:$E,$A44,'Itaú CC'!$F:$F,H$40,'Itaú CC'!$D:$D,"entrada")+SUMIFS('Itaú Cartão'!$C:$C,'Itaú Cartão'!$E:$E,$A44,'Itaú Cartão'!$F:$F,H$40,'Itaú Cartão'!$D:$D,"entrada")+SUMIFS('BTG Cartão'!$C:$C,'BTG Cartão'!$E:$E,$A44,'BTG Cartão'!$F:$F,H$40,'BTG Cartão'!$D:$D,"entrada"),0)</f>
        <v/>
      </c>
      <c r="I44" s="9">
        <f>IFERROR(SUMIFS('Itaú CC'!$C:$C,'Itaú CC'!$E:$E,$A44,'Itaú CC'!$F:$F,I$40,'Itaú CC'!$D:$D,"entrada")+SUMIFS('Itaú Cartão'!$C:$C,'Itaú Cartão'!$E:$E,$A44,'Itaú Cartão'!$F:$F,I$40,'Itaú Cartão'!$D:$D,"entrada")+SUMIFS('BTG Cartão'!$C:$C,'BTG Cartão'!$E:$E,$A44,'BTG Cartão'!$F:$F,I$40,'BTG Cartão'!$D:$D,"entrada"),0)</f>
        <v/>
      </c>
      <c r="J44" s="9">
        <f>IFERROR(SUMIFS('Itaú CC'!$C:$C,'Itaú CC'!$E:$E,$A44,'Itaú CC'!$F:$F,J$40,'Itaú CC'!$D:$D,"entrada")+SUMIFS('Itaú Cartão'!$C:$C,'Itaú Cartão'!$E:$E,$A44,'Itaú Cartão'!$F:$F,J$40,'Itaú Cartão'!$D:$D,"entrada")+SUMIFS('BTG Cartão'!$C:$C,'BTG Cartão'!$E:$E,$A44,'BTG Cartão'!$F:$F,J$40,'BTG Cartão'!$D:$D,"entrada"),0)</f>
        <v/>
      </c>
      <c r="K44" s="10">
        <f>SUM(B44:J44)</f>
        <v/>
      </c>
    </row>
    <row r="45" ht="16" customHeight="1">
      <c r="A45" s="5" t="inlineStr">
        <is>
          <t>Rendimentos</t>
        </is>
      </c>
      <c r="B45" s="6">
        <f>IFERROR(SUMIFS('Itaú CC'!$C:$C,'Itaú CC'!$E:$E,$A45,'Itaú CC'!$F:$F,B$40,'Itaú CC'!$D:$D,"entrada")+SUMIFS('Itaú Cartão'!$C:$C,'Itaú Cartão'!$E:$E,$A45,'Itaú Cartão'!$F:$F,B$40,'Itaú Cartão'!$D:$D,"entrada")+SUMIFS('BTG Cartão'!$C:$C,'BTG Cartão'!$E:$E,$A45,'BTG Cartão'!$F:$F,B$40,'BTG Cartão'!$D:$D,"entrada"),0)</f>
        <v/>
      </c>
      <c r="C45" s="6">
        <f>IFERROR(SUMIFS('Itaú CC'!$C:$C,'Itaú CC'!$E:$E,$A45,'Itaú CC'!$F:$F,C$40,'Itaú CC'!$D:$D,"entrada")+SUMIFS('Itaú Cartão'!$C:$C,'Itaú Cartão'!$E:$E,$A45,'Itaú Cartão'!$F:$F,C$40,'Itaú Cartão'!$D:$D,"entrada")+SUMIFS('BTG Cartão'!$C:$C,'BTG Cartão'!$E:$E,$A45,'BTG Cartão'!$F:$F,C$40,'BTG Cartão'!$D:$D,"entrada"),0)</f>
        <v/>
      </c>
      <c r="D45" s="6">
        <f>IFERROR(SUMIFS('Itaú CC'!$C:$C,'Itaú CC'!$E:$E,$A45,'Itaú CC'!$F:$F,D$40,'Itaú CC'!$D:$D,"entrada")+SUMIFS('Itaú Cartão'!$C:$C,'Itaú Cartão'!$E:$E,$A45,'Itaú Cartão'!$F:$F,D$40,'Itaú Cartão'!$D:$D,"entrada")+SUMIFS('BTG Cartão'!$C:$C,'BTG Cartão'!$E:$E,$A45,'BTG Cartão'!$F:$F,D$40,'BTG Cartão'!$D:$D,"entrada"),0)</f>
        <v/>
      </c>
      <c r="E45" s="6">
        <f>IFERROR(SUMIFS('Itaú CC'!$C:$C,'Itaú CC'!$E:$E,$A45,'Itaú CC'!$F:$F,E$40,'Itaú CC'!$D:$D,"entrada")+SUMIFS('Itaú Cartão'!$C:$C,'Itaú Cartão'!$E:$E,$A45,'Itaú Cartão'!$F:$F,E$40,'Itaú Cartão'!$D:$D,"entrada")+SUMIFS('BTG Cartão'!$C:$C,'BTG Cartão'!$E:$E,$A45,'BTG Cartão'!$F:$F,E$40,'BTG Cartão'!$D:$D,"entrada"),0)</f>
        <v/>
      </c>
      <c r="F45" s="6">
        <f>IFERROR(SUMIFS('Itaú CC'!$C:$C,'Itaú CC'!$E:$E,$A45,'Itaú CC'!$F:$F,F$40,'Itaú CC'!$D:$D,"entrada")+SUMIFS('Itaú Cartão'!$C:$C,'Itaú Cartão'!$E:$E,$A45,'Itaú Cartão'!$F:$F,F$40,'Itaú Cartão'!$D:$D,"entrada")+SUMIFS('BTG Cartão'!$C:$C,'BTG Cartão'!$E:$E,$A45,'BTG Cartão'!$F:$F,F$40,'BTG Cartão'!$D:$D,"entrada"),0)</f>
        <v/>
      </c>
      <c r="G45" s="6">
        <f>IFERROR(SUMIFS('Itaú CC'!$C:$C,'Itaú CC'!$E:$E,$A45,'Itaú CC'!$F:$F,G$40,'Itaú CC'!$D:$D,"entrada")+SUMIFS('Itaú Cartão'!$C:$C,'Itaú Cartão'!$E:$E,$A45,'Itaú Cartão'!$F:$F,G$40,'Itaú Cartão'!$D:$D,"entrada")+SUMIFS('BTG Cartão'!$C:$C,'BTG Cartão'!$E:$E,$A45,'BTG Cartão'!$F:$F,G$40,'BTG Cartão'!$D:$D,"entrada"),0)</f>
        <v/>
      </c>
      <c r="H45" s="6">
        <f>IFERROR(SUMIFS('Itaú CC'!$C:$C,'Itaú CC'!$E:$E,$A45,'Itaú CC'!$F:$F,H$40,'Itaú CC'!$D:$D,"entrada")+SUMIFS('Itaú Cartão'!$C:$C,'Itaú Cartão'!$E:$E,$A45,'Itaú Cartão'!$F:$F,H$40,'Itaú Cartão'!$D:$D,"entrada")+SUMIFS('BTG Cartão'!$C:$C,'BTG Cartão'!$E:$E,$A45,'BTG Cartão'!$F:$F,H$40,'BTG Cartão'!$D:$D,"entrada"),0)</f>
        <v/>
      </c>
      <c r="I45" s="6">
        <f>IFERROR(SUMIFS('Itaú CC'!$C:$C,'Itaú CC'!$E:$E,$A45,'Itaú CC'!$F:$F,I$40,'Itaú CC'!$D:$D,"entrada")+SUMIFS('Itaú Cartão'!$C:$C,'Itaú Cartão'!$E:$E,$A45,'Itaú Cartão'!$F:$F,I$40,'Itaú Cartão'!$D:$D,"entrada")+SUMIFS('BTG Cartão'!$C:$C,'BTG Cartão'!$E:$E,$A45,'BTG Cartão'!$F:$F,I$40,'BTG Cartão'!$D:$D,"entrada"),0)</f>
        <v/>
      </c>
      <c r="J45" s="6">
        <f>IFERROR(SUMIFS('Itaú CC'!$C:$C,'Itaú CC'!$E:$E,$A45,'Itaú CC'!$F:$F,J$40,'Itaú CC'!$D:$D,"entrada")+SUMIFS('Itaú Cartão'!$C:$C,'Itaú Cartão'!$E:$E,$A45,'Itaú Cartão'!$F:$F,J$40,'Itaú Cartão'!$D:$D,"entrada")+SUMIFS('BTG Cartão'!$C:$C,'BTG Cartão'!$E:$E,$A45,'BTG Cartão'!$F:$F,J$40,'BTG Cartão'!$D:$D,"entrada"),0)</f>
        <v/>
      </c>
      <c r="K45" s="7">
        <f>SUM(B45:J45)</f>
        <v/>
      </c>
    </row>
    <row r="46" ht="16" customHeight="1">
      <c r="A46" s="8" t="inlineStr">
        <is>
          <t>Resgate CDB</t>
        </is>
      </c>
      <c r="B46" s="9">
        <f>IFERROR(SUMIFS('Itaú CC'!$C:$C,'Itaú CC'!$E:$E,$A46,'Itaú CC'!$F:$F,B$40,'Itaú CC'!$D:$D,"entrada")+SUMIFS('Itaú Cartão'!$C:$C,'Itaú Cartão'!$E:$E,$A46,'Itaú Cartão'!$F:$F,B$40,'Itaú Cartão'!$D:$D,"entrada")+SUMIFS('BTG Cartão'!$C:$C,'BTG Cartão'!$E:$E,$A46,'BTG Cartão'!$F:$F,B$40,'BTG Cartão'!$D:$D,"entrada"),0)</f>
        <v/>
      </c>
      <c r="C46" s="9">
        <f>IFERROR(SUMIFS('Itaú CC'!$C:$C,'Itaú CC'!$E:$E,$A46,'Itaú CC'!$F:$F,C$40,'Itaú CC'!$D:$D,"entrada")+SUMIFS('Itaú Cartão'!$C:$C,'Itaú Cartão'!$E:$E,$A46,'Itaú Cartão'!$F:$F,C$40,'Itaú Cartão'!$D:$D,"entrada")+SUMIFS('BTG Cartão'!$C:$C,'BTG Cartão'!$E:$E,$A46,'BTG Cartão'!$F:$F,C$40,'BTG Cartão'!$D:$D,"entrada"),0)</f>
        <v/>
      </c>
      <c r="D46" s="9">
        <f>IFERROR(SUMIFS('Itaú CC'!$C:$C,'Itaú CC'!$E:$E,$A46,'Itaú CC'!$F:$F,D$40,'Itaú CC'!$D:$D,"entrada")+SUMIFS('Itaú Cartão'!$C:$C,'Itaú Cartão'!$E:$E,$A46,'Itaú Cartão'!$F:$F,D$40,'Itaú Cartão'!$D:$D,"entrada")+SUMIFS('BTG Cartão'!$C:$C,'BTG Cartão'!$E:$E,$A46,'BTG Cartão'!$F:$F,D$40,'BTG Cartão'!$D:$D,"entrada"),0)</f>
        <v/>
      </c>
      <c r="E46" s="9">
        <f>IFERROR(SUMIFS('Itaú CC'!$C:$C,'Itaú CC'!$E:$E,$A46,'Itaú CC'!$F:$F,E$40,'Itaú CC'!$D:$D,"entrada")+SUMIFS('Itaú Cartão'!$C:$C,'Itaú Cartão'!$E:$E,$A46,'Itaú Cartão'!$F:$F,E$40,'Itaú Cartão'!$D:$D,"entrada")+SUMIFS('BTG Cartão'!$C:$C,'BTG Cartão'!$E:$E,$A46,'BTG Cartão'!$F:$F,E$40,'BTG Cartão'!$D:$D,"entrada"),0)</f>
        <v/>
      </c>
      <c r="F46" s="9">
        <f>IFERROR(SUMIFS('Itaú CC'!$C:$C,'Itaú CC'!$E:$E,$A46,'Itaú CC'!$F:$F,F$40,'Itaú CC'!$D:$D,"entrada")+SUMIFS('Itaú Cartão'!$C:$C,'Itaú Cartão'!$E:$E,$A46,'Itaú Cartão'!$F:$F,F$40,'Itaú Cartão'!$D:$D,"entrada")+SUMIFS('BTG Cartão'!$C:$C,'BTG Cartão'!$E:$E,$A46,'BTG Cartão'!$F:$F,F$40,'BTG Cartão'!$D:$D,"entrada"),0)</f>
        <v/>
      </c>
      <c r="G46" s="9">
        <f>IFERROR(SUMIFS('Itaú CC'!$C:$C,'Itaú CC'!$E:$E,$A46,'Itaú CC'!$F:$F,G$40,'Itaú CC'!$D:$D,"entrada")+SUMIFS('Itaú Cartão'!$C:$C,'Itaú Cartão'!$E:$E,$A46,'Itaú Cartão'!$F:$F,G$40,'Itaú Cartão'!$D:$D,"entrada")+SUMIFS('BTG Cartão'!$C:$C,'BTG Cartão'!$E:$E,$A46,'BTG Cartão'!$F:$F,G$40,'BTG Cartão'!$D:$D,"entrada"),0)</f>
        <v/>
      </c>
      <c r="H46" s="9">
        <f>IFERROR(SUMIFS('Itaú CC'!$C:$C,'Itaú CC'!$E:$E,$A46,'Itaú CC'!$F:$F,H$40,'Itaú CC'!$D:$D,"entrada")+SUMIFS('Itaú Cartão'!$C:$C,'Itaú Cartão'!$E:$E,$A46,'Itaú Cartão'!$F:$F,H$40,'Itaú Cartão'!$D:$D,"entrada")+SUMIFS('BTG Cartão'!$C:$C,'BTG Cartão'!$E:$E,$A46,'BTG Cartão'!$F:$F,H$40,'BTG Cartão'!$D:$D,"entrada"),0)</f>
        <v/>
      </c>
      <c r="I46" s="9">
        <f>IFERROR(SUMIFS('Itaú CC'!$C:$C,'Itaú CC'!$E:$E,$A46,'Itaú CC'!$F:$F,I$40,'Itaú CC'!$D:$D,"entrada")+SUMIFS('Itaú Cartão'!$C:$C,'Itaú Cartão'!$E:$E,$A46,'Itaú Cartão'!$F:$F,I$40,'Itaú Cartão'!$D:$D,"entrada")+SUMIFS('BTG Cartão'!$C:$C,'BTG Cartão'!$E:$E,$A46,'BTG Cartão'!$F:$F,I$40,'BTG Cartão'!$D:$D,"entrada"),0)</f>
        <v/>
      </c>
      <c r="J46" s="9">
        <f>IFERROR(SUMIFS('Itaú CC'!$C:$C,'Itaú CC'!$E:$E,$A46,'Itaú CC'!$F:$F,J$40,'Itaú CC'!$D:$D,"entrada")+SUMIFS('Itaú Cartão'!$C:$C,'Itaú Cartão'!$E:$E,$A46,'Itaú Cartão'!$F:$F,J$40,'Itaú Cartão'!$D:$D,"entrada")+SUMIFS('BTG Cartão'!$C:$C,'BTG Cartão'!$E:$E,$A46,'BTG Cartão'!$F:$F,J$40,'BTG Cartão'!$D:$D,"entrada"),0)</f>
        <v/>
      </c>
      <c r="K46" s="10">
        <f>SUM(B46:J46)</f>
        <v/>
      </c>
    </row>
    <row r="47" ht="16" customHeight="1">
      <c r="A47" s="5" t="inlineStr">
        <is>
          <t>Salário</t>
        </is>
      </c>
      <c r="B47" s="6">
        <f>IFERROR(SUMIFS('Itaú CC'!$C:$C,'Itaú CC'!$E:$E,$A47,'Itaú CC'!$F:$F,B$40,'Itaú CC'!$D:$D,"entrada")+SUMIFS('Itaú Cartão'!$C:$C,'Itaú Cartão'!$E:$E,$A47,'Itaú Cartão'!$F:$F,B$40,'Itaú Cartão'!$D:$D,"entrada")+SUMIFS('BTG Cartão'!$C:$C,'BTG Cartão'!$E:$E,$A47,'BTG Cartão'!$F:$F,B$40,'BTG Cartão'!$D:$D,"entrada"),0)</f>
        <v/>
      </c>
      <c r="C47" s="6">
        <f>IFERROR(SUMIFS('Itaú CC'!$C:$C,'Itaú CC'!$E:$E,$A47,'Itaú CC'!$F:$F,C$40,'Itaú CC'!$D:$D,"entrada")+SUMIFS('Itaú Cartão'!$C:$C,'Itaú Cartão'!$E:$E,$A47,'Itaú Cartão'!$F:$F,C$40,'Itaú Cartão'!$D:$D,"entrada")+SUMIFS('BTG Cartão'!$C:$C,'BTG Cartão'!$E:$E,$A47,'BTG Cartão'!$F:$F,C$40,'BTG Cartão'!$D:$D,"entrada"),0)</f>
        <v/>
      </c>
      <c r="D47" s="6">
        <f>IFERROR(SUMIFS('Itaú CC'!$C:$C,'Itaú CC'!$E:$E,$A47,'Itaú CC'!$F:$F,D$40,'Itaú CC'!$D:$D,"entrada")+SUMIFS('Itaú Cartão'!$C:$C,'Itaú Cartão'!$E:$E,$A47,'Itaú Cartão'!$F:$F,D$40,'Itaú Cartão'!$D:$D,"entrada")+SUMIFS('BTG Cartão'!$C:$C,'BTG Cartão'!$E:$E,$A47,'BTG Cartão'!$F:$F,D$40,'BTG Cartão'!$D:$D,"entrada"),0)</f>
        <v/>
      </c>
      <c r="E47" s="6">
        <f>IFERROR(SUMIFS('Itaú CC'!$C:$C,'Itaú CC'!$E:$E,$A47,'Itaú CC'!$F:$F,E$40,'Itaú CC'!$D:$D,"entrada")+SUMIFS('Itaú Cartão'!$C:$C,'Itaú Cartão'!$E:$E,$A47,'Itaú Cartão'!$F:$F,E$40,'Itaú Cartão'!$D:$D,"entrada")+SUMIFS('BTG Cartão'!$C:$C,'BTG Cartão'!$E:$E,$A47,'BTG Cartão'!$F:$F,E$40,'BTG Cartão'!$D:$D,"entrada"),0)</f>
        <v/>
      </c>
      <c r="F47" s="6">
        <f>IFERROR(SUMIFS('Itaú CC'!$C:$C,'Itaú CC'!$E:$E,$A47,'Itaú CC'!$F:$F,F$40,'Itaú CC'!$D:$D,"entrada")+SUMIFS('Itaú Cartão'!$C:$C,'Itaú Cartão'!$E:$E,$A47,'Itaú Cartão'!$F:$F,F$40,'Itaú Cartão'!$D:$D,"entrada")+SUMIFS('BTG Cartão'!$C:$C,'BTG Cartão'!$E:$E,$A47,'BTG Cartão'!$F:$F,F$40,'BTG Cartão'!$D:$D,"entrada"),0)</f>
        <v/>
      </c>
      <c r="G47" s="6">
        <f>IFERROR(SUMIFS('Itaú CC'!$C:$C,'Itaú CC'!$E:$E,$A47,'Itaú CC'!$F:$F,G$40,'Itaú CC'!$D:$D,"entrada")+SUMIFS('Itaú Cartão'!$C:$C,'Itaú Cartão'!$E:$E,$A47,'Itaú Cartão'!$F:$F,G$40,'Itaú Cartão'!$D:$D,"entrada")+SUMIFS('BTG Cartão'!$C:$C,'BTG Cartão'!$E:$E,$A47,'BTG Cartão'!$F:$F,G$40,'BTG Cartão'!$D:$D,"entrada"),0)</f>
        <v/>
      </c>
      <c r="H47" s="6">
        <f>IFERROR(SUMIFS('Itaú CC'!$C:$C,'Itaú CC'!$E:$E,$A47,'Itaú CC'!$F:$F,H$40,'Itaú CC'!$D:$D,"entrada")+SUMIFS('Itaú Cartão'!$C:$C,'Itaú Cartão'!$E:$E,$A47,'Itaú Cartão'!$F:$F,H$40,'Itaú Cartão'!$D:$D,"entrada")+SUMIFS('BTG Cartão'!$C:$C,'BTG Cartão'!$E:$E,$A47,'BTG Cartão'!$F:$F,H$40,'BTG Cartão'!$D:$D,"entrada"),0)</f>
        <v/>
      </c>
      <c r="I47" s="6">
        <f>IFERROR(SUMIFS('Itaú CC'!$C:$C,'Itaú CC'!$E:$E,$A47,'Itaú CC'!$F:$F,I$40,'Itaú CC'!$D:$D,"entrada")+SUMIFS('Itaú Cartão'!$C:$C,'Itaú Cartão'!$E:$E,$A47,'Itaú Cartão'!$F:$F,I$40,'Itaú Cartão'!$D:$D,"entrada")+SUMIFS('BTG Cartão'!$C:$C,'BTG Cartão'!$E:$E,$A47,'BTG Cartão'!$F:$F,I$40,'BTG Cartão'!$D:$D,"entrada"),0)</f>
        <v/>
      </c>
      <c r="J47" s="6">
        <f>IFERROR(SUMIFS('Itaú CC'!$C:$C,'Itaú CC'!$E:$E,$A47,'Itaú CC'!$F:$F,J$40,'Itaú CC'!$D:$D,"entrada")+SUMIFS('Itaú Cartão'!$C:$C,'Itaú Cartão'!$E:$E,$A47,'Itaú Cartão'!$F:$F,J$40,'Itaú Cartão'!$D:$D,"entrada")+SUMIFS('BTG Cartão'!$C:$C,'BTG Cartão'!$E:$E,$A47,'BTG Cartão'!$F:$F,J$40,'BTG Cartão'!$D:$D,"entrada"),0)</f>
        <v/>
      </c>
      <c r="K47" s="7">
        <f>SUM(B47:J47)</f>
        <v/>
      </c>
    </row>
    <row r="48" ht="16" customHeight="1">
      <c r="A48" s="8" t="inlineStr">
        <is>
          <t>Transferência Gabriel</t>
        </is>
      </c>
      <c r="B48" s="9">
        <f>IFERROR(SUMIFS('Itaú CC'!$C:$C,'Itaú CC'!$E:$E,$A48,'Itaú CC'!$F:$F,B$40,'Itaú CC'!$D:$D,"entrada")+SUMIFS('Itaú Cartão'!$C:$C,'Itaú Cartão'!$E:$E,$A48,'Itaú Cartão'!$F:$F,B$40,'Itaú Cartão'!$D:$D,"entrada")+SUMIFS('BTG Cartão'!$C:$C,'BTG Cartão'!$E:$E,$A48,'BTG Cartão'!$F:$F,B$40,'BTG Cartão'!$D:$D,"entrada"),0)</f>
        <v/>
      </c>
      <c r="C48" s="9">
        <f>IFERROR(SUMIFS('Itaú CC'!$C:$C,'Itaú CC'!$E:$E,$A48,'Itaú CC'!$F:$F,C$40,'Itaú CC'!$D:$D,"entrada")+SUMIFS('Itaú Cartão'!$C:$C,'Itaú Cartão'!$E:$E,$A48,'Itaú Cartão'!$F:$F,C$40,'Itaú Cartão'!$D:$D,"entrada")+SUMIFS('BTG Cartão'!$C:$C,'BTG Cartão'!$E:$E,$A48,'BTG Cartão'!$F:$F,C$40,'BTG Cartão'!$D:$D,"entrada"),0)</f>
        <v/>
      </c>
      <c r="D48" s="9">
        <f>IFERROR(SUMIFS('Itaú CC'!$C:$C,'Itaú CC'!$E:$E,$A48,'Itaú CC'!$F:$F,D$40,'Itaú CC'!$D:$D,"entrada")+SUMIFS('Itaú Cartão'!$C:$C,'Itaú Cartão'!$E:$E,$A48,'Itaú Cartão'!$F:$F,D$40,'Itaú Cartão'!$D:$D,"entrada")+SUMIFS('BTG Cartão'!$C:$C,'BTG Cartão'!$E:$E,$A48,'BTG Cartão'!$F:$F,D$40,'BTG Cartão'!$D:$D,"entrada"),0)</f>
        <v/>
      </c>
      <c r="E48" s="9">
        <f>IFERROR(SUMIFS('Itaú CC'!$C:$C,'Itaú CC'!$E:$E,$A48,'Itaú CC'!$F:$F,E$40,'Itaú CC'!$D:$D,"entrada")+SUMIFS('Itaú Cartão'!$C:$C,'Itaú Cartão'!$E:$E,$A48,'Itaú Cartão'!$F:$F,E$40,'Itaú Cartão'!$D:$D,"entrada")+SUMIFS('BTG Cartão'!$C:$C,'BTG Cartão'!$E:$E,$A48,'BTG Cartão'!$F:$F,E$40,'BTG Cartão'!$D:$D,"entrada"),0)</f>
        <v/>
      </c>
      <c r="F48" s="9">
        <f>IFERROR(SUMIFS('Itaú CC'!$C:$C,'Itaú CC'!$E:$E,$A48,'Itaú CC'!$F:$F,F$40,'Itaú CC'!$D:$D,"entrada")+SUMIFS('Itaú Cartão'!$C:$C,'Itaú Cartão'!$E:$E,$A48,'Itaú Cartão'!$F:$F,F$40,'Itaú Cartão'!$D:$D,"entrada")+SUMIFS('BTG Cartão'!$C:$C,'BTG Cartão'!$E:$E,$A48,'BTG Cartão'!$F:$F,F$40,'BTG Cartão'!$D:$D,"entrada"),0)</f>
        <v/>
      </c>
      <c r="G48" s="9">
        <f>IFERROR(SUMIFS('Itaú CC'!$C:$C,'Itaú CC'!$E:$E,$A48,'Itaú CC'!$F:$F,G$40,'Itaú CC'!$D:$D,"entrada")+SUMIFS('Itaú Cartão'!$C:$C,'Itaú Cartão'!$E:$E,$A48,'Itaú Cartão'!$F:$F,G$40,'Itaú Cartão'!$D:$D,"entrada")+SUMIFS('BTG Cartão'!$C:$C,'BTG Cartão'!$E:$E,$A48,'BTG Cartão'!$F:$F,G$40,'BTG Cartão'!$D:$D,"entrada"),0)</f>
        <v/>
      </c>
      <c r="H48" s="9">
        <f>IFERROR(SUMIFS('Itaú CC'!$C:$C,'Itaú CC'!$E:$E,$A48,'Itaú CC'!$F:$F,H$40,'Itaú CC'!$D:$D,"entrada")+SUMIFS('Itaú Cartão'!$C:$C,'Itaú Cartão'!$E:$E,$A48,'Itaú Cartão'!$F:$F,H$40,'Itaú Cartão'!$D:$D,"entrada")+SUMIFS('BTG Cartão'!$C:$C,'BTG Cartão'!$E:$E,$A48,'BTG Cartão'!$F:$F,H$40,'BTG Cartão'!$D:$D,"entrada"),0)</f>
        <v/>
      </c>
      <c r="I48" s="9">
        <f>IFERROR(SUMIFS('Itaú CC'!$C:$C,'Itaú CC'!$E:$E,$A48,'Itaú CC'!$F:$F,I$40,'Itaú CC'!$D:$D,"entrada")+SUMIFS('Itaú Cartão'!$C:$C,'Itaú Cartão'!$E:$E,$A48,'Itaú Cartão'!$F:$F,I$40,'Itaú Cartão'!$D:$D,"entrada")+SUMIFS('BTG Cartão'!$C:$C,'BTG Cartão'!$E:$E,$A48,'BTG Cartão'!$F:$F,I$40,'BTG Cartão'!$D:$D,"entrada"),0)</f>
        <v/>
      </c>
      <c r="J48" s="9">
        <f>IFERROR(SUMIFS('Itaú CC'!$C:$C,'Itaú CC'!$E:$E,$A48,'Itaú CC'!$F:$F,J$40,'Itaú CC'!$D:$D,"entrada")+SUMIFS('Itaú Cartão'!$C:$C,'Itaú Cartão'!$E:$E,$A48,'Itaú Cartão'!$F:$F,J$40,'Itaú Cartão'!$D:$D,"entrada")+SUMIFS('BTG Cartão'!$C:$C,'BTG Cartão'!$E:$E,$A48,'BTG Cartão'!$F:$F,J$40,'BTG Cartão'!$D:$D,"entrada"),0)</f>
        <v/>
      </c>
      <c r="K48" s="10">
        <f>SUM(B48:J48)</f>
        <v/>
      </c>
    </row>
    <row r="49" ht="16" customHeight="1">
      <c r="A49" s="5" t="inlineStr">
        <is>
          <t>Transferência Própria</t>
        </is>
      </c>
      <c r="B49" s="6">
        <f>IFERROR(SUMIFS('Itaú CC'!$C:$C,'Itaú CC'!$E:$E,$A49,'Itaú CC'!$F:$F,B$40,'Itaú CC'!$D:$D,"entrada")+SUMIFS('Itaú Cartão'!$C:$C,'Itaú Cartão'!$E:$E,$A49,'Itaú Cartão'!$F:$F,B$40,'Itaú Cartão'!$D:$D,"entrada")+SUMIFS('BTG Cartão'!$C:$C,'BTG Cartão'!$E:$E,$A49,'BTG Cartão'!$F:$F,B$40,'BTG Cartão'!$D:$D,"entrada"),0)</f>
        <v/>
      </c>
      <c r="C49" s="6">
        <f>IFERROR(SUMIFS('Itaú CC'!$C:$C,'Itaú CC'!$E:$E,$A49,'Itaú CC'!$F:$F,C$40,'Itaú CC'!$D:$D,"entrada")+SUMIFS('Itaú Cartão'!$C:$C,'Itaú Cartão'!$E:$E,$A49,'Itaú Cartão'!$F:$F,C$40,'Itaú Cartão'!$D:$D,"entrada")+SUMIFS('BTG Cartão'!$C:$C,'BTG Cartão'!$E:$E,$A49,'BTG Cartão'!$F:$F,C$40,'BTG Cartão'!$D:$D,"entrada"),0)</f>
        <v/>
      </c>
      <c r="D49" s="6">
        <f>IFERROR(SUMIFS('Itaú CC'!$C:$C,'Itaú CC'!$E:$E,$A49,'Itaú CC'!$F:$F,D$40,'Itaú CC'!$D:$D,"entrada")+SUMIFS('Itaú Cartão'!$C:$C,'Itaú Cartão'!$E:$E,$A49,'Itaú Cartão'!$F:$F,D$40,'Itaú Cartão'!$D:$D,"entrada")+SUMIFS('BTG Cartão'!$C:$C,'BTG Cartão'!$E:$E,$A49,'BTG Cartão'!$F:$F,D$40,'BTG Cartão'!$D:$D,"entrada"),0)</f>
        <v/>
      </c>
      <c r="E49" s="6">
        <f>IFERROR(SUMIFS('Itaú CC'!$C:$C,'Itaú CC'!$E:$E,$A49,'Itaú CC'!$F:$F,E$40,'Itaú CC'!$D:$D,"entrada")+SUMIFS('Itaú Cartão'!$C:$C,'Itaú Cartão'!$E:$E,$A49,'Itaú Cartão'!$F:$F,E$40,'Itaú Cartão'!$D:$D,"entrada")+SUMIFS('BTG Cartão'!$C:$C,'BTG Cartão'!$E:$E,$A49,'BTG Cartão'!$F:$F,E$40,'BTG Cartão'!$D:$D,"entrada"),0)</f>
        <v/>
      </c>
      <c r="F49" s="6">
        <f>IFERROR(SUMIFS('Itaú CC'!$C:$C,'Itaú CC'!$E:$E,$A49,'Itaú CC'!$F:$F,F$40,'Itaú CC'!$D:$D,"entrada")+SUMIFS('Itaú Cartão'!$C:$C,'Itaú Cartão'!$E:$E,$A49,'Itaú Cartão'!$F:$F,F$40,'Itaú Cartão'!$D:$D,"entrada")+SUMIFS('BTG Cartão'!$C:$C,'BTG Cartão'!$E:$E,$A49,'BTG Cartão'!$F:$F,F$40,'BTG Cartão'!$D:$D,"entrada"),0)</f>
        <v/>
      </c>
      <c r="G49" s="6">
        <f>IFERROR(SUMIFS('Itaú CC'!$C:$C,'Itaú CC'!$E:$E,$A49,'Itaú CC'!$F:$F,G$40,'Itaú CC'!$D:$D,"entrada")+SUMIFS('Itaú Cartão'!$C:$C,'Itaú Cartão'!$E:$E,$A49,'Itaú Cartão'!$F:$F,G$40,'Itaú Cartão'!$D:$D,"entrada")+SUMIFS('BTG Cartão'!$C:$C,'BTG Cartão'!$E:$E,$A49,'BTG Cartão'!$F:$F,G$40,'BTG Cartão'!$D:$D,"entrada"),0)</f>
        <v/>
      </c>
      <c r="H49" s="6">
        <f>IFERROR(SUMIFS('Itaú CC'!$C:$C,'Itaú CC'!$E:$E,$A49,'Itaú CC'!$F:$F,H$40,'Itaú CC'!$D:$D,"entrada")+SUMIFS('Itaú Cartão'!$C:$C,'Itaú Cartão'!$E:$E,$A49,'Itaú Cartão'!$F:$F,H$40,'Itaú Cartão'!$D:$D,"entrada")+SUMIFS('BTG Cartão'!$C:$C,'BTG Cartão'!$E:$E,$A49,'BTG Cartão'!$F:$F,H$40,'BTG Cartão'!$D:$D,"entrada"),0)</f>
        <v/>
      </c>
      <c r="I49" s="6">
        <f>IFERROR(SUMIFS('Itaú CC'!$C:$C,'Itaú CC'!$E:$E,$A49,'Itaú CC'!$F:$F,I$40,'Itaú CC'!$D:$D,"entrada")+SUMIFS('Itaú Cartão'!$C:$C,'Itaú Cartão'!$E:$E,$A49,'Itaú Cartão'!$F:$F,I$40,'Itaú Cartão'!$D:$D,"entrada")+SUMIFS('BTG Cartão'!$C:$C,'BTG Cartão'!$E:$E,$A49,'BTG Cartão'!$F:$F,I$40,'BTG Cartão'!$D:$D,"entrada"),0)</f>
        <v/>
      </c>
      <c r="J49" s="6">
        <f>IFERROR(SUMIFS('Itaú CC'!$C:$C,'Itaú CC'!$E:$E,$A49,'Itaú CC'!$F:$F,J$40,'Itaú CC'!$D:$D,"entrada")+SUMIFS('Itaú Cartão'!$C:$C,'Itaú Cartão'!$E:$E,$A49,'Itaú Cartão'!$F:$F,J$40,'Itaú Cartão'!$D:$D,"entrada")+SUMIFS('BTG Cartão'!$C:$C,'BTG Cartão'!$E:$E,$A49,'BTG Cartão'!$F:$F,J$40,'BTG Cartão'!$D:$D,"entrada"),0)</f>
        <v/>
      </c>
      <c r="K49" s="7">
        <f>SUM(B49:J49)</f>
        <v/>
      </c>
    </row>
    <row r="50" ht="20" customHeight="1">
      <c r="A50" s="13" t="inlineStr">
        <is>
          <t>TOTAL</t>
        </is>
      </c>
      <c r="B50" s="14">
        <f>SUM(B41:B49)</f>
        <v/>
      </c>
      <c r="C50" s="14">
        <f>SUM(C41:C49)</f>
        <v/>
      </c>
      <c r="D50" s="14">
        <f>SUM(D41:D49)</f>
        <v/>
      </c>
      <c r="E50" s="14">
        <f>SUM(E41:E49)</f>
        <v/>
      </c>
      <c r="F50" s="14">
        <f>SUM(F41:F49)</f>
        <v/>
      </c>
      <c r="G50" s="14">
        <f>SUM(G41:G49)</f>
        <v/>
      </c>
      <c r="H50" s="14">
        <f>SUM(H41:H49)</f>
        <v/>
      </c>
      <c r="I50" s="14">
        <f>SUM(I41:I49)</f>
        <v/>
      </c>
      <c r="J50" s="14">
        <f>SUM(J41:J49)</f>
        <v/>
      </c>
      <c r="K50" s="14">
        <f>SUM(K41:K49)</f>
        <v/>
      </c>
    </row>
    <row r="52" ht="22" customHeight="1">
      <c r="A52" s="15" t="inlineStr">
        <is>
          <t>SALDO LÍQUIDO  (Entradas − Saídas)</t>
        </is>
      </c>
    </row>
    <row r="53" ht="20" customHeight="1">
      <c r="A53" s="16" t="inlineStr">
        <is>
          <t>Saldo</t>
        </is>
      </c>
      <c r="B53" s="17">
        <f>B50-B37</f>
        <v/>
      </c>
      <c r="C53" s="17">
        <f>C50-C37</f>
        <v/>
      </c>
      <c r="D53" s="17">
        <f>D50-D37</f>
        <v/>
      </c>
      <c r="E53" s="17">
        <f>E50-E37</f>
        <v/>
      </c>
      <c r="F53" s="17">
        <f>F50-F37</f>
        <v/>
      </c>
      <c r="G53" s="17">
        <f>G50-G37</f>
        <v/>
      </c>
      <c r="H53" s="17">
        <f>H50-H37</f>
        <v/>
      </c>
      <c r="I53" s="17">
        <f>I50-I37</f>
        <v/>
      </c>
      <c r="J53" s="17">
        <f>J50-J37</f>
        <v/>
      </c>
      <c r="K53" s="17">
        <f>K50-K37</f>
        <v/>
      </c>
    </row>
  </sheetData>
  <mergeCells count="4">
    <mergeCell ref="A39:K39"/>
    <mergeCell ref="A52:K5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0" customWidth="1" min="4" max="4"/>
    <col width="28" customWidth="1" min="5" max="5"/>
    <col width="9" customWidth="1" min="6" max="6"/>
    <col width="14" customWidth="1" min="7" max="7"/>
  </cols>
  <sheetData>
    <row r="1" ht="20" customHeight="1">
      <c r="A1" s="18" t="inlineStr">
        <is>
          <t>Data</t>
        </is>
      </c>
      <c r="B1" s="18" t="inlineStr">
        <is>
          <t>Descrição</t>
        </is>
      </c>
      <c r="C1" s="18" t="inlineStr">
        <is>
          <t>Valor (R$)</t>
        </is>
      </c>
      <c r="D1" s="18" t="inlineStr">
        <is>
          <t>Tipo</t>
        </is>
      </c>
      <c r="E1" s="18" t="inlineStr">
        <is>
          <t>Categoria</t>
        </is>
      </c>
      <c r="F1" s="18" t="inlineStr">
        <is>
          <t>Mês</t>
        </is>
      </c>
      <c r="G1" s="18" t="inlineStr">
        <is>
          <t>Conta</t>
        </is>
      </c>
    </row>
    <row r="2">
      <c r="A2" s="19" t="inlineStr">
        <is>
          <t>2026-03-30</t>
        </is>
      </c>
      <c r="B2" s="19" t="inlineStr">
        <is>
          <t>PAGTO EM CONTA CORREN</t>
        </is>
      </c>
      <c r="C2" s="20" t="n">
        <v>46635.42</v>
      </c>
      <c r="D2" s="19" t="inlineStr">
        <is>
          <t>entrada</t>
        </is>
      </c>
      <c r="E2" s="19" t="inlineStr">
        <is>
          <t>Dividendos Nord</t>
        </is>
      </c>
      <c r="F2" s="19" t="inlineStr">
        <is>
          <t>2026-03</t>
        </is>
      </c>
      <c r="G2" s="19" t="inlineStr">
        <is>
          <t>Itaú CC</t>
        </is>
      </c>
    </row>
    <row r="3">
      <c r="A3" s="19" t="inlineStr">
        <is>
          <t>2026-03-30</t>
        </is>
      </c>
      <c r="B3" s="19" t="inlineStr">
        <is>
          <t>PAGTO SALARIO</t>
        </is>
      </c>
      <c r="C3" s="20" t="n">
        <v>1442.69</v>
      </c>
      <c r="D3" s="19" t="inlineStr">
        <is>
          <t>entrada</t>
        </is>
      </c>
      <c r="E3" s="19" t="inlineStr">
        <is>
          <t>Salário</t>
        </is>
      </c>
      <c r="F3" s="19" t="inlineStr">
        <is>
          <t>2026-03</t>
        </is>
      </c>
      <c r="G3" s="19" t="inlineStr">
        <is>
          <t>Itaú CC</t>
        </is>
      </c>
    </row>
    <row r="4">
      <c r="A4" s="21" t="inlineStr">
        <is>
          <t>2026-03-30</t>
        </is>
      </c>
      <c r="B4" s="21" t="inlineStr">
        <is>
          <t>PIX TRANSF DMW CON28/03</t>
        </is>
      </c>
      <c r="C4" s="22" t="n">
        <v>-423.35</v>
      </c>
      <c r="D4" s="21" t="inlineStr">
        <is>
          <t>saída</t>
        </is>
      </c>
      <c r="E4" s="21" t="inlineStr">
        <is>
          <t>Contabilidade</t>
        </is>
      </c>
      <c r="F4" s="21" t="inlineStr">
        <is>
          <t>2026-03</t>
        </is>
      </c>
      <c r="G4" s="21" t="inlineStr">
        <is>
          <t>Itaú CC</t>
        </is>
      </c>
    </row>
    <row r="5">
      <c r="A5" s="21" t="inlineStr">
        <is>
          <t>2026-03-30</t>
        </is>
      </c>
      <c r="B5" s="21" t="inlineStr">
        <is>
          <t>PIX TRANSF ISRAEL 30/03</t>
        </is>
      </c>
      <c r="C5" s="22" t="n">
        <v>-500</v>
      </c>
      <c r="D5" s="21" t="inlineStr">
        <is>
          <t>saída</t>
        </is>
      </c>
      <c r="E5" s="21" t="inlineStr">
        <is>
          <t>Outros</t>
        </is>
      </c>
      <c r="F5" s="21" t="inlineStr">
        <is>
          <t>2026-03</t>
        </is>
      </c>
      <c r="G5" s="21" t="inlineStr">
        <is>
          <t>Itaú CC</t>
        </is>
      </c>
    </row>
    <row r="6">
      <c r="A6" s="21" t="inlineStr">
        <is>
          <t>2026-03-30</t>
        </is>
      </c>
      <c r="B6" s="21" t="inlineStr">
        <is>
          <t>PIX TRANSF FERNAND30/03</t>
        </is>
      </c>
      <c r="C6" s="22" t="n">
        <v>-11800</v>
      </c>
      <c r="D6" s="21" t="inlineStr">
        <is>
          <t>saída</t>
        </is>
      </c>
      <c r="E6" s="21" t="inlineStr">
        <is>
          <t>Aluguel</t>
        </is>
      </c>
      <c r="F6" s="21" t="inlineStr">
        <is>
          <t>2026-03</t>
        </is>
      </c>
      <c r="G6" s="21" t="inlineStr">
        <is>
          <t>Itaú CC</t>
        </is>
      </c>
    </row>
    <row r="7">
      <c r="A7" s="21" t="inlineStr">
        <is>
          <t>2026-03-23</t>
        </is>
      </c>
      <c r="B7" s="21" t="inlineStr">
        <is>
          <t>PIX QRS VINDI PAGAM21/03</t>
        </is>
      </c>
      <c r="C7" s="22" t="n">
        <v>-367.99</v>
      </c>
      <c r="D7" s="21" t="inlineStr">
        <is>
          <t>saída</t>
        </is>
      </c>
      <c r="E7" s="21" t="inlineStr">
        <is>
          <t>Streaming/Assinatura</t>
        </is>
      </c>
      <c r="F7" s="21" t="inlineStr">
        <is>
          <t>2026-03</t>
        </is>
      </c>
      <c r="G7" s="21" t="inlineStr">
        <is>
          <t>Itaú CC</t>
        </is>
      </c>
    </row>
    <row r="8">
      <c r="A8" s="21" t="inlineStr">
        <is>
          <t>2026-03-23</t>
        </is>
      </c>
      <c r="B8" s="21" t="inlineStr">
        <is>
          <t>PIX QRS I CASEI PRE22/03</t>
        </is>
      </c>
      <c r="C8" s="22" t="n">
        <v>-1806.93</v>
      </c>
      <c r="D8" s="21" t="inlineStr">
        <is>
          <t>saída</t>
        </is>
      </c>
      <c r="E8" s="21" t="inlineStr">
        <is>
          <t>Outros</t>
        </is>
      </c>
      <c r="F8" s="21" t="inlineStr">
        <is>
          <t>2026-03</t>
        </is>
      </c>
      <c r="G8" s="21" t="inlineStr">
        <is>
          <t>Itaú CC</t>
        </is>
      </c>
    </row>
    <row r="9">
      <c r="A9" s="19" t="inlineStr">
        <is>
          <t>2026-03-23</t>
        </is>
      </c>
      <c r="B9" s="19" t="inlineStr">
        <is>
          <t>RESGATE CDB DI</t>
        </is>
      </c>
      <c r="C9" s="20" t="n">
        <v>5000.53</v>
      </c>
      <c r="D9" s="19" t="inlineStr">
        <is>
          <t>entrada</t>
        </is>
      </c>
      <c r="E9" s="19" t="inlineStr">
        <is>
          <t>Resgate CDB</t>
        </is>
      </c>
      <c r="F9" s="19" t="inlineStr">
        <is>
          <t>2026-03</t>
        </is>
      </c>
      <c r="G9" s="19" t="inlineStr">
        <is>
          <t>Itaú CC</t>
        </is>
      </c>
    </row>
    <row r="10">
      <c r="A10" s="21" t="inlineStr">
        <is>
          <t>2026-03-23</t>
        </is>
      </c>
      <c r="B10" s="21" t="inlineStr">
        <is>
          <t>PIX TRANSF RONALDO23/03</t>
        </is>
      </c>
      <c r="C10" s="22" t="n">
        <v>-1476.84</v>
      </c>
      <c r="D10" s="21" t="inlineStr">
        <is>
          <t>saída</t>
        </is>
      </c>
      <c r="E10" s="21" t="inlineStr">
        <is>
          <t>Outros</t>
        </is>
      </c>
      <c r="F10" s="21" t="inlineStr">
        <is>
          <t>2026-03</t>
        </is>
      </c>
      <c r="G10" s="21" t="inlineStr">
        <is>
          <t>Itaú CC</t>
        </is>
      </c>
    </row>
    <row r="11">
      <c r="A11" s="21" t="inlineStr">
        <is>
          <t>2026-03-20</t>
        </is>
      </c>
      <c r="B11" s="21" t="inlineStr">
        <is>
          <t>PIX TRANSF DAMIAO 20/03</t>
        </is>
      </c>
      <c r="C11" s="22" t="n">
        <v>-100</v>
      </c>
      <c r="D11" s="21" t="inlineStr">
        <is>
          <t>saída</t>
        </is>
      </c>
      <c r="E11" s="21" t="inlineStr">
        <is>
          <t>Outros</t>
        </is>
      </c>
      <c r="F11" s="21" t="inlineStr">
        <is>
          <t>2026-03</t>
        </is>
      </c>
      <c r="G11" s="21" t="inlineStr">
        <is>
          <t>Itaú CC</t>
        </is>
      </c>
    </row>
    <row r="12">
      <c r="A12" s="19" t="inlineStr">
        <is>
          <t>2026-03-20</t>
        </is>
      </c>
      <c r="B12" s="19" t="inlineStr">
        <is>
          <t>RESGATE CDB DI</t>
        </is>
      </c>
      <c r="C12" s="20" t="n">
        <v>30000.74</v>
      </c>
      <c r="D12" s="19" t="inlineStr">
        <is>
          <t>entrada</t>
        </is>
      </c>
      <c r="E12" s="19" t="inlineStr">
        <is>
          <t>Resgate CDB</t>
        </is>
      </c>
      <c r="F12" s="19" t="inlineStr">
        <is>
          <t>2026-03</t>
        </is>
      </c>
      <c r="G12" s="19" t="inlineStr">
        <is>
          <t>Itaú CC</t>
        </is>
      </c>
    </row>
    <row r="13">
      <c r="A13" s="21" t="inlineStr">
        <is>
          <t>2026-03-20</t>
        </is>
      </c>
      <c r="B13" s="21" t="inlineStr">
        <is>
          <t>PAG BOLETO CALACATTA</t>
        </is>
      </c>
      <c r="C13" s="22" t="n">
        <v>-58058.6</v>
      </c>
      <c r="D13" s="21" t="inlineStr">
        <is>
          <t>saída</t>
        </is>
      </c>
      <c r="E13" s="21" t="inlineStr">
        <is>
          <t>Obra/Reforma</t>
        </is>
      </c>
      <c r="F13" s="21" t="inlineStr">
        <is>
          <t>2026-03</t>
        </is>
      </c>
      <c r="G13" s="21" t="inlineStr">
        <is>
          <t>Itaú CC</t>
        </is>
      </c>
    </row>
    <row r="14">
      <c r="A14" s="21" t="inlineStr">
        <is>
          <t>2026-03-20</t>
        </is>
      </c>
      <c r="B14" s="21" t="inlineStr">
        <is>
          <t>PIX QRS SBF COMERCI20/03</t>
        </is>
      </c>
      <c r="C14" s="22" t="n">
        <v>-176.49</v>
      </c>
      <c r="D14" s="21" t="inlineStr">
        <is>
          <t>saída</t>
        </is>
      </c>
      <c r="E14" s="21" t="inlineStr">
        <is>
          <t>Outros</t>
        </is>
      </c>
      <c r="F14" s="21" t="inlineStr">
        <is>
          <t>2026-03</t>
        </is>
      </c>
      <c r="G14" s="21" t="inlineStr">
        <is>
          <t>Itaú CC</t>
        </is>
      </c>
    </row>
    <row r="15">
      <c r="A15" s="21" t="inlineStr">
        <is>
          <t>2026-03-17</t>
        </is>
      </c>
      <c r="B15" s="21" t="inlineStr">
        <is>
          <t>PIX QRS ESPORTE CLU17/03</t>
        </is>
      </c>
      <c r="C15" s="22" t="n">
        <v>-403</v>
      </c>
      <c r="D15" s="21" t="inlineStr">
        <is>
          <t>saída</t>
        </is>
      </c>
      <c r="E15" s="21" t="inlineStr">
        <is>
          <t>Clube ECP</t>
        </is>
      </c>
      <c r="F15" s="21" t="inlineStr">
        <is>
          <t>2026-03</t>
        </is>
      </c>
      <c r="G15" s="21" t="inlineStr">
        <is>
          <t>Itaú CC</t>
        </is>
      </c>
    </row>
    <row r="16">
      <c r="A16" s="21" t="inlineStr">
        <is>
          <t>2026-03-17</t>
        </is>
      </c>
      <c r="B16" s="21" t="inlineStr">
        <is>
          <t>PERS BLACK 3629-9134</t>
        </is>
      </c>
      <c r="C16" s="22" t="n">
        <v>-1950.98</v>
      </c>
      <c r="D16" s="21" t="inlineStr">
        <is>
          <t>saída</t>
        </is>
      </c>
      <c r="E16" s="21" t="inlineStr">
        <is>
          <t>Fatura Cartão Itaú</t>
        </is>
      </c>
      <c r="F16" s="21" t="inlineStr">
        <is>
          <t>2026-03</t>
        </is>
      </c>
      <c r="G16" s="21" t="inlineStr">
        <is>
          <t>Itaú CC</t>
        </is>
      </c>
    </row>
    <row r="17">
      <c r="A17" s="21" t="inlineStr">
        <is>
          <t>2026-03-16</t>
        </is>
      </c>
      <c r="B17" s="21" t="inlineStr">
        <is>
          <t>PIX TRANSF GUILHER14/03</t>
        </is>
      </c>
      <c r="C17" s="22" t="n">
        <v>-2700</v>
      </c>
      <c r="D17" s="21" t="inlineStr">
        <is>
          <t>saída</t>
        </is>
      </c>
      <c r="E17" s="21" t="inlineStr">
        <is>
          <t>Outros</t>
        </is>
      </c>
      <c r="F17" s="21" t="inlineStr">
        <is>
          <t>2026-03</t>
        </is>
      </c>
      <c r="G17" s="21" t="inlineStr">
        <is>
          <t>Itaú CC</t>
        </is>
      </c>
    </row>
    <row r="18">
      <c r="A18" s="19" t="inlineStr">
        <is>
          <t>2026-03-16</t>
        </is>
      </c>
      <c r="B18" s="19" t="inlineStr">
        <is>
          <t>VENCIMENTO LCA</t>
        </is>
      </c>
      <c r="C18" s="20" t="n">
        <v>30670.7</v>
      </c>
      <c r="D18" s="19" t="inlineStr">
        <is>
          <t>entrada</t>
        </is>
      </c>
      <c r="E18" s="19" t="inlineStr">
        <is>
          <t>Rendimentos</t>
        </is>
      </c>
      <c r="F18" s="19" t="inlineStr">
        <is>
          <t>2026-03</t>
        </is>
      </c>
      <c r="G18" s="19" t="inlineStr">
        <is>
          <t>Itaú CC</t>
        </is>
      </c>
    </row>
    <row r="19">
      <c r="A19" s="21" t="inlineStr">
        <is>
          <t>2026-03-13</t>
        </is>
      </c>
      <c r="B19" s="21" t="inlineStr">
        <is>
          <t>DA VIVO-SP 11192739056</t>
        </is>
      </c>
      <c r="C19" s="22" t="n">
        <v>-295.99</v>
      </c>
      <c r="D19" s="21" t="inlineStr">
        <is>
          <t>saída</t>
        </is>
      </c>
      <c r="E19" s="21" t="inlineStr">
        <is>
          <t>Telecomunicações</t>
        </is>
      </c>
      <c r="F19" s="21" t="inlineStr">
        <is>
          <t>2026-03</t>
        </is>
      </c>
      <c r="G19" s="21" t="inlineStr">
        <is>
          <t>Itaú CC</t>
        </is>
      </c>
    </row>
    <row r="20">
      <c r="A20" s="19" t="inlineStr">
        <is>
          <t>2026-03-12</t>
        </is>
      </c>
      <c r="B20" s="19" t="inlineStr">
        <is>
          <t>RESGATE CDB DI</t>
        </is>
      </c>
      <c r="C20" s="20" t="n">
        <v>5000.89</v>
      </c>
      <c r="D20" s="19" t="inlineStr">
        <is>
          <t>entrada</t>
        </is>
      </c>
      <c r="E20" s="19" t="inlineStr">
        <is>
          <t>Resgate CDB</t>
        </is>
      </c>
      <c r="F20" s="19" t="inlineStr">
        <is>
          <t>2026-03</t>
        </is>
      </c>
      <c r="G20" s="19" t="inlineStr">
        <is>
          <t>Itaú CC</t>
        </is>
      </c>
    </row>
    <row r="21">
      <c r="A21" s="21" t="inlineStr">
        <is>
          <t>2026-03-12</t>
        </is>
      </c>
      <c r="B21" s="21" t="inlineStr">
        <is>
          <t>PIX TRANSF 63.576.12/03</t>
        </is>
      </c>
      <c r="C21" s="22" t="n">
        <v>-300</v>
      </c>
      <c r="D21" s="21" t="inlineStr">
        <is>
          <t>saída</t>
        </is>
      </c>
      <c r="E21" s="21" t="inlineStr">
        <is>
          <t>Outros</t>
        </is>
      </c>
      <c r="F21" s="21" t="inlineStr">
        <is>
          <t>2026-03</t>
        </is>
      </c>
      <c r="G21" s="21" t="inlineStr">
        <is>
          <t>Itaú CC</t>
        </is>
      </c>
    </row>
    <row r="22">
      <c r="A22" s="19" t="inlineStr">
        <is>
          <t>2026-03-10</t>
        </is>
      </c>
      <c r="B22" s="19" t="inlineStr">
        <is>
          <t>TED 237.0001.BRADESCO S</t>
        </is>
      </c>
      <c r="C22" s="20" t="n">
        <v>634.54</v>
      </c>
      <c r="D22" s="19" t="inlineStr">
        <is>
          <t>entrada</t>
        </is>
      </c>
      <c r="E22" s="19" t="inlineStr">
        <is>
          <t>Outros</t>
        </is>
      </c>
      <c r="F22" s="19" t="inlineStr">
        <is>
          <t>2026-03</t>
        </is>
      </c>
      <c r="G22" s="19" t="inlineStr">
        <is>
          <t>Itaú CC</t>
        </is>
      </c>
    </row>
    <row r="23">
      <c r="A23" s="21" t="inlineStr">
        <is>
          <t>2026-03-10</t>
        </is>
      </c>
      <c r="B23" s="21" t="inlineStr">
        <is>
          <t>PAG TIT INT 237</t>
        </is>
      </c>
      <c r="C23" s="22" t="n">
        <v>-2864.56</v>
      </c>
      <c r="D23" s="21" t="inlineStr">
        <is>
          <t>saída</t>
        </is>
      </c>
      <c r="E23" s="21" t="inlineStr">
        <is>
          <t>Fatura Cartão</t>
        </is>
      </c>
      <c r="F23" s="21" t="inlineStr">
        <is>
          <t>2026-03</t>
        </is>
      </c>
      <c r="G23" s="21" t="inlineStr">
        <is>
          <t>Itaú CC</t>
        </is>
      </c>
    </row>
    <row r="24">
      <c r="A24" s="21" t="inlineStr">
        <is>
          <t>2026-03-10</t>
        </is>
      </c>
      <c r="B24" s="21" t="inlineStr">
        <is>
          <t>PAG TIT INT 237</t>
        </is>
      </c>
      <c r="C24" s="22" t="n">
        <v>-632</v>
      </c>
      <c r="D24" s="21" t="inlineStr">
        <is>
          <t>saída</t>
        </is>
      </c>
      <c r="E24" s="21" t="inlineStr">
        <is>
          <t>Fatura Cartão</t>
        </is>
      </c>
      <c r="F24" s="21" t="inlineStr">
        <is>
          <t>2026-03</t>
        </is>
      </c>
      <c r="G24" s="21" t="inlineStr">
        <is>
          <t>Itaú CC</t>
        </is>
      </c>
    </row>
    <row r="25">
      <c r="A25" s="21" t="inlineStr">
        <is>
          <t>2026-03-10</t>
        </is>
      </c>
      <c r="B25" s="21" t="inlineStr">
        <is>
          <t>DA CLARO BL/IT 53719250</t>
        </is>
      </c>
      <c r="C25" s="22" t="n">
        <v>-301.49</v>
      </c>
      <c r="D25" s="21" t="inlineStr">
        <is>
          <t>saída</t>
        </is>
      </c>
      <c r="E25" s="21" t="inlineStr">
        <is>
          <t>Telecomunicações</t>
        </is>
      </c>
      <c r="F25" s="21" t="inlineStr">
        <is>
          <t>2026-03</t>
        </is>
      </c>
      <c r="G25" s="21" t="inlineStr">
        <is>
          <t>Itaú CC</t>
        </is>
      </c>
    </row>
    <row r="26">
      <c r="A26" s="21" t="inlineStr">
        <is>
          <t>2026-03-09</t>
        </is>
      </c>
      <c r="B26" s="21" t="inlineStr">
        <is>
          <t>PIX TRANSF PRODUTO07/03</t>
        </is>
      </c>
      <c r="C26" s="22" t="n">
        <v>-1794</v>
      </c>
      <c r="D26" s="21" t="inlineStr">
        <is>
          <t>saída</t>
        </is>
      </c>
      <c r="E26" s="21" t="inlineStr">
        <is>
          <t>Outros</t>
        </is>
      </c>
      <c r="F26" s="21" t="inlineStr">
        <is>
          <t>2026-03</t>
        </is>
      </c>
      <c r="G26" s="21" t="inlineStr">
        <is>
          <t>Itaú CC</t>
        </is>
      </c>
    </row>
    <row r="27">
      <c r="A27" s="21" t="inlineStr">
        <is>
          <t>2026-03-09</t>
        </is>
      </c>
      <c r="B27" s="21" t="inlineStr">
        <is>
          <t>PAG TIT INT 237</t>
        </is>
      </c>
      <c r="C27" s="22" t="n">
        <v>-1321.92</v>
      </c>
      <c r="D27" s="21" t="inlineStr">
        <is>
          <t>saída</t>
        </is>
      </c>
      <c r="E27" s="21" t="inlineStr">
        <is>
          <t>Fatura Cartão</t>
        </is>
      </c>
      <c r="F27" s="21" t="inlineStr">
        <is>
          <t>2026-03</t>
        </is>
      </c>
      <c r="G27" s="21" t="inlineStr">
        <is>
          <t>Itaú CC</t>
        </is>
      </c>
    </row>
    <row r="28">
      <c r="A28" s="21" t="inlineStr">
        <is>
          <t>2026-03-03</t>
        </is>
      </c>
      <c r="B28" s="21" t="inlineStr">
        <is>
          <t>IOF</t>
        </is>
      </c>
      <c r="C28" s="22" t="n">
        <v>-10.82</v>
      </c>
      <c r="D28" s="21" t="inlineStr">
        <is>
          <t>saída</t>
        </is>
      </c>
      <c r="E28" s="21" t="inlineStr">
        <is>
          <t>IOF</t>
        </is>
      </c>
      <c r="F28" s="21" t="inlineStr">
        <is>
          <t>2026-03</t>
        </is>
      </c>
      <c r="G28" s="21" t="inlineStr">
        <is>
          <t>Itaú CC</t>
        </is>
      </c>
    </row>
    <row r="29">
      <c r="A29" s="21" t="inlineStr">
        <is>
          <t>2026-03-02</t>
        </is>
      </c>
      <c r="B29" s="21" t="inlineStr">
        <is>
          <t>PIX TRANSF DMW CON28/02</t>
        </is>
      </c>
      <c r="C29" s="22" t="n">
        <v>-423.35</v>
      </c>
      <c r="D29" s="21" t="inlineStr">
        <is>
          <t>saída</t>
        </is>
      </c>
      <c r="E29" s="21" t="inlineStr">
        <is>
          <t>Contabilidade</t>
        </is>
      </c>
      <c r="F29" s="21" t="inlineStr">
        <is>
          <t>2026-03</t>
        </is>
      </c>
      <c r="G29" s="21" t="inlineStr">
        <is>
          <t>Itaú CC</t>
        </is>
      </c>
    </row>
    <row r="30">
      <c r="A30" s="21" t="inlineStr">
        <is>
          <t>2026-03-02</t>
        </is>
      </c>
      <c r="B30" s="21" t="inlineStr">
        <is>
          <t>PIX QRS ILKA728/02</t>
        </is>
      </c>
      <c r="C30" s="22" t="n">
        <v>-95</v>
      </c>
      <c r="D30" s="21" t="inlineStr">
        <is>
          <t>saída</t>
        </is>
      </c>
      <c r="E30" s="21" t="inlineStr">
        <is>
          <t>Outros</t>
        </is>
      </c>
      <c r="F30" s="21" t="inlineStr">
        <is>
          <t>2026-03</t>
        </is>
      </c>
      <c r="G30" s="21" t="inlineStr">
        <is>
          <t>Itaú CC</t>
        </is>
      </c>
    </row>
    <row r="31">
      <c r="A31" s="21" t="inlineStr">
        <is>
          <t>2026-03-02</t>
        </is>
      </c>
      <c r="B31" s="21" t="inlineStr">
        <is>
          <t>PIX TRANSF FERNAND28/02</t>
        </is>
      </c>
      <c r="C31" s="22" t="n">
        <v>-315</v>
      </c>
      <c r="D31" s="21" t="inlineStr">
        <is>
          <t>saída</t>
        </is>
      </c>
      <c r="E31" s="21" t="inlineStr">
        <is>
          <t>Aluguel</t>
        </is>
      </c>
      <c r="F31" s="21" t="inlineStr">
        <is>
          <t>2026-03</t>
        </is>
      </c>
      <c r="G31" s="21" t="inlineStr">
        <is>
          <t>Itaú CC</t>
        </is>
      </c>
    </row>
    <row r="32">
      <c r="A32" s="21" t="inlineStr">
        <is>
          <t>2026-03-02</t>
        </is>
      </c>
      <c r="B32" s="21" t="inlineStr">
        <is>
          <t>PIX TRANSF LR - PR28/02</t>
        </is>
      </c>
      <c r="C32" s="22" t="n">
        <v>-1150</v>
      </c>
      <c r="D32" s="21" t="inlineStr">
        <is>
          <t>saída</t>
        </is>
      </c>
      <c r="E32" s="21" t="inlineStr">
        <is>
          <t>⚠ LR-PR</t>
        </is>
      </c>
      <c r="F32" s="21" t="inlineStr">
        <is>
          <t>2026-03</t>
        </is>
      </c>
      <c r="G32" s="21" t="inlineStr">
        <is>
          <t>Itaú CC</t>
        </is>
      </c>
    </row>
    <row r="33">
      <c r="A33" s="19" t="inlineStr">
        <is>
          <t>2026-03-02</t>
        </is>
      </c>
      <c r="B33" s="19" t="inlineStr">
        <is>
          <t>RESGATE CDB DI</t>
        </is>
      </c>
      <c r="C33" s="20" t="n">
        <v>5000.02</v>
      </c>
      <c r="D33" s="19" t="inlineStr">
        <is>
          <t>entrada</t>
        </is>
      </c>
      <c r="E33" s="19" t="inlineStr">
        <is>
          <t>Resgate CDB</t>
        </is>
      </c>
      <c r="F33" s="19" t="inlineStr">
        <is>
          <t>2026-03</t>
        </is>
      </c>
      <c r="G33" s="19" t="inlineStr">
        <is>
          <t>Itaú CC</t>
        </is>
      </c>
    </row>
    <row r="34">
      <c r="A34" s="19" t="inlineStr">
        <is>
          <t>2026-03-02</t>
        </is>
      </c>
      <c r="B34" s="19" t="inlineStr">
        <is>
          <t>RESGATE CDB DI</t>
        </is>
      </c>
      <c r="C34" s="20" t="n">
        <v>8000.24</v>
      </c>
      <c r="D34" s="19" t="inlineStr">
        <is>
          <t>entrada</t>
        </is>
      </c>
      <c r="E34" s="19" t="inlineStr">
        <is>
          <t>Resgate CDB</t>
        </is>
      </c>
      <c r="F34" s="19" t="inlineStr">
        <is>
          <t>2026-03</t>
        </is>
      </c>
      <c r="G34" s="19" t="inlineStr">
        <is>
          <t>Itaú CC</t>
        </is>
      </c>
    </row>
    <row r="35">
      <c r="A35" s="21" t="inlineStr">
        <is>
          <t>2026-03-02</t>
        </is>
      </c>
      <c r="B35" s="21" t="inlineStr">
        <is>
          <t>PAG BOLETO BR PACK DISTRIBUIDORA DE EMB</t>
        </is>
      </c>
      <c r="C35" s="22" t="n">
        <v>-1488</v>
      </c>
      <c r="D35" s="21" t="inlineStr">
        <is>
          <t>saída</t>
        </is>
      </c>
      <c r="E35" s="21" t="inlineStr">
        <is>
          <t>Clínica Esposa</t>
        </is>
      </c>
      <c r="F35" s="21" t="inlineStr">
        <is>
          <t>2026-03</t>
        </is>
      </c>
      <c r="G35" s="21" t="inlineStr">
        <is>
          <t>Itaú CC</t>
        </is>
      </c>
    </row>
    <row r="36">
      <c r="A36" s="21" t="inlineStr">
        <is>
          <t>2026-03-02</t>
        </is>
      </c>
      <c r="B36" s="21" t="inlineStr">
        <is>
          <t>PAG BOLETO EQUATORIAL</t>
        </is>
      </c>
      <c r="C36" s="22" t="n">
        <v>-923</v>
      </c>
      <c r="D36" s="21" t="inlineStr">
        <is>
          <t>saída</t>
        </is>
      </c>
      <c r="E36" s="21" t="inlineStr">
        <is>
          <t>Clínica Esposa</t>
        </is>
      </c>
      <c r="F36" s="21" t="inlineStr">
        <is>
          <t>2026-03</t>
        </is>
      </c>
      <c r="G36" s="21" t="inlineStr">
        <is>
          <t>Itaú CC</t>
        </is>
      </c>
    </row>
    <row r="37">
      <c r="A37" s="21" t="inlineStr">
        <is>
          <t>2026-03-02</t>
        </is>
      </c>
      <c r="B37" s="21" t="inlineStr">
        <is>
          <t>PAG BOLETO VILE EMBALAGENS U LTDA</t>
        </is>
      </c>
      <c r="C37" s="22" t="n">
        <v>-778.9</v>
      </c>
      <c r="D37" s="21" t="inlineStr">
        <is>
          <t>saída</t>
        </is>
      </c>
      <c r="E37" s="21" t="inlineStr">
        <is>
          <t>Clínica Esposa</t>
        </is>
      </c>
      <c r="F37" s="21" t="inlineStr">
        <is>
          <t>2026-03</t>
        </is>
      </c>
      <c r="G37" s="21" t="inlineStr">
        <is>
          <t>Itaú CC</t>
        </is>
      </c>
    </row>
    <row r="38">
      <c r="A38" s="21" t="inlineStr">
        <is>
          <t>2026-03-02</t>
        </is>
      </c>
      <c r="B38" s="21" t="inlineStr">
        <is>
          <t>PAG BOLETO CSP COPIAS LTDA ME</t>
        </is>
      </c>
      <c r="C38" s="22" t="n">
        <v>-140.69</v>
      </c>
      <c r="D38" s="21" t="inlineStr">
        <is>
          <t>saída</t>
        </is>
      </c>
      <c r="E38" s="21" t="inlineStr">
        <is>
          <t>Clínica Esposa</t>
        </is>
      </c>
      <c r="F38" s="21" t="inlineStr">
        <is>
          <t>2026-03</t>
        </is>
      </c>
      <c r="G38" s="21" t="inlineStr">
        <is>
          <t>Itaú CC</t>
        </is>
      </c>
    </row>
    <row r="39">
      <c r="A39" s="21" t="inlineStr">
        <is>
          <t>2026-03-02</t>
        </is>
      </c>
      <c r="B39" s="21" t="inlineStr">
        <is>
          <t>PAG BOLETO FOGOES SHOP LTDA EPP</t>
        </is>
      </c>
      <c r="C39" s="22" t="n">
        <v>-2290.58</v>
      </c>
      <c r="D39" s="21" t="inlineStr">
        <is>
          <t>saída</t>
        </is>
      </c>
      <c r="E39" s="21" t="inlineStr">
        <is>
          <t>Clínica Esposa</t>
        </is>
      </c>
      <c r="F39" s="21" t="inlineStr">
        <is>
          <t>2026-03</t>
        </is>
      </c>
      <c r="G39" s="21" t="inlineStr">
        <is>
          <t>Itaú CC</t>
        </is>
      </c>
    </row>
    <row r="40">
      <c r="A40" s="21" t="inlineStr">
        <is>
          <t>2026-03-02</t>
        </is>
      </c>
      <c r="B40" s="21" t="inlineStr">
        <is>
          <t>PAG BOLETO CADPREST COMERCIO E SERVICOS</t>
        </is>
      </c>
      <c r="C40" s="22" t="n">
        <v>-1850</v>
      </c>
      <c r="D40" s="21" t="inlineStr">
        <is>
          <t>saída</t>
        </is>
      </c>
      <c r="E40" s="21" t="inlineStr">
        <is>
          <t>Clínica Esposa</t>
        </is>
      </c>
      <c r="F40" s="21" t="inlineStr">
        <is>
          <t>2026-03</t>
        </is>
      </c>
      <c r="G40" s="21" t="inlineStr">
        <is>
          <t>Itaú CC</t>
        </is>
      </c>
    </row>
    <row r="41">
      <c r="A41" s="19" t="inlineStr">
        <is>
          <t>2026-03-02</t>
        </is>
      </c>
      <c r="B41" s="19" t="inlineStr">
        <is>
          <t>RESGATE CDB DI</t>
        </is>
      </c>
      <c r="C41" s="20" t="n">
        <v>10000.05</v>
      </c>
      <c r="D41" s="19" t="inlineStr">
        <is>
          <t>entrada</t>
        </is>
      </c>
      <c r="E41" s="19" t="inlineStr">
        <is>
          <t>Resgate CDB</t>
        </is>
      </c>
      <c r="F41" s="19" t="inlineStr">
        <is>
          <t>2026-03</t>
        </is>
      </c>
      <c r="G41" s="19" t="inlineStr">
        <is>
          <t>Itaú CC</t>
        </is>
      </c>
    </row>
    <row r="42">
      <c r="A42" s="21" t="inlineStr">
        <is>
          <t>2026-03-02</t>
        </is>
      </c>
      <c r="B42" s="21" t="inlineStr">
        <is>
          <t>PIX TRANSF GLAUCIA02/03</t>
        </is>
      </c>
      <c r="C42" s="22" t="n">
        <v>-9910</v>
      </c>
      <c r="D42" s="21" t="inlineStr">
        <is>
          <t>saída</t>
        </is>
      </c>
      <c r="E42" s="21" t="inlineStr">
        <is>
          <t>Serviços Domésticos</t>
        </is>
      </c>
      <c r="F42" s="21" t="inlineStr">
        <is>
          <t>2026-03</t>
        </is>
      </c>
      <c r="G42" s="21" t="inlineStr">
        <is>
          <t>Itaú CC</t>
        </is>
      </c>
    </row>
    <row r="43">
      <c r="A43" s="19" t="inlineStr">
        <is>
          <t>2026-03-02</t>
        </is>
      </c>
      <c r="B43" s="19" t="inlineStr">
        <is>
          <t>RESGATE CDB DI</t>
        </is>
      </c>
      <c r="C43" s="20" t="n">
        <v>12000.87</v>
      </c>
      <c r="D43" s="19" t="inlineStr">
        <is>
          <t>entrada</t>
        </is>
      </c>
      <c r="E43" s="19" t="inlineStr">
        <is>
          <t>Resgate CDB</t>
        </is>
      </c>
      <c r="F43" s="19" t="inlineStr">
        <is>
          <t>2026-03</t>
        </is>
      </c>
      <c r="G43" s="19" t="inlineStr">
        <is>
          <t>Itaú CC</t>
        </is>
      </c>
    </row>
    <row r="44">
      <c r="A44" s="21" t="inlineStr">
        <is>
          <t>2026-03-02</t>
        </is>
      </c>
      <c r="B44" s="21" t="inlineStr">
        <is>
          <t>PIX TRANSF FERNAND02/03</t>
        </is>
      </c>
      <c r="C44" s="22" t="n">
        <v>-11800</v>
      </c>
      <c r="D44" s="21" t="inlineStr">
        <is>
          <t>saída</t>
        </is>
      </c>
      <c r="E44" s="21" t="inlineStr">
        <is>
          <t>Aluguel</t>
        </is>
      </c>
      <c r="F44" s="21" t="inlineStr">
        <is>
          <t>2026-03</t>
        </is>
      </c>
      <c r="G44" s="21" t="inlineStr">
        <is>
          <t>Itaú CC</t>
        </is>
      </c>
    </row>
    <row r="45">
      <c r="A45" s="21" t="inlineStr">
        <is>
          <t>2026-02-27</t>
        </is>
      </c>
      <c r="B45" s="21" t="inlineStr">
        <is>
          <t>PIX TRANSF MARCOS 27/02</t>
        </is>
      </c>
      <c r="C45" s="22" t="n">
        <v>-35519</v>
      </c>
      <c r="D45" s="21" t="inlineStr">
        <is>
          <t>saída</t>
        </is>
      </c>
      <c r="E45" s="21" t="inlineStr">
        <is>
          <t>Outros</t>
        </is>
      </c>
      <c r="F45" s="21" t="inlineStr">
        <is>
          <t>2026-02</t>
        </is>
      </c>
      <c r="G45" s="21" t="inlineStr">
        <is>
          <t>Itaú CC</t>
        </is>
      </c>
    </row>
    <row r="46">
      <c r="A46" s="19" t="inlineStr">
        <is>
          <t>2026-02-27</t>
        </is>
      </c>
      <c r="B46" s="19" t="inlineStr">
        <is>
          <t>RESGATE CDB DI</t>
        </is>
      </c>
      <c r="C46" s="20" t="n">
        <v>40000.29</v>
      </c>
      <c r="D46" s="19" t="inlineStr">
        <is>
          <t>entrada</t>
        </is>
      </c>
      <c r="E46" s="19" t="inlineStr">
        <is>
          <t>Resgate CDB</t>
        </is>
      </c>
      <c r="F46" s="19" t="inlineStr">
        <is>
          <t>2026-02</t>
        </is>
      </c>
      <c r="G46" s="19" t="inlineStr">
        <is>
          <t>Itaú CC</t>
        </is>
      </c>
    </row>
    <row r="47">
      <c r="A47" s="19" t="inlineStr">
        <is>
          <t>2026-02-26</t>
        </is>
      </c>
      <c r="B47" s="19" t="inlineStr">
        <is>
          <t>PAGTO SALARIO</t>
        </is>
      </c>
      <c r="C47" s="20" t="n">
        <v>1442.69</v>
      </c>
      <c r="D47" s="19" t="inlineStr">
        <is>
          <t>entrada</t>
        </is>
      </c>
      <c r="E47" s="19" t="inlineStr">
        <is>
          <t>Salário</t>
        </is>
      </c>
      <c r="F47" s="19" t="inlineStr">
        <is>
          <t>2026-02</t>
        </is>
      </c>
      <c r="G47" s="19" t="inlineStr">
        <is>
          <t>Itaú CC</t>
        </is>
      </c>
    </row>
    <row r="48">
      <c r="A48" s="19" t="inlineStr">
        <is>
          <t>2026-02-26</t>
        </is>
      </c>
      <c r="B48" s="19" t="inlineStr">
        <is>
          <t>PAGTO EM CONTA CORREN</t>
        </is>
      </c>
      <c r="C48" s="20" t="n">
        <v>49990</v>
      </c>
      <c r="D48" s="19" t="inlineStr">
        <is>
          <t>entrada</t>
        </is>
      </c>
      <c r="E48" s="19" t="inlineStr">
        <is>
          <t>Dividendos Nord</t>
        </is>
      </c>
      <c r="F48" s="19" t="inlineStr">
        <is>
          <t>2026-02</t>
        </is>
      </c>
      <c r="G48" s="19" t="inlineStr">
        <is>
          <t>Itaú CC</t>
        </is>
      </c>
    </row>
    <row r="49">
      <c r="A49" s="19" t="inlineStr">
        <is>
          <t>2026-02-26</t>
        </is>
      </c>
      <c r="B49" s="19" t="inlineStr">
        <is>
          <t>PIX TRANSF PRIME F26/02</t>
        </is>
      </c>
      <c r="C49" s="20" t="n">
        <v>2980</v>
      </c>
      <c r="D49" s="19" t="inlineStr">
        <is>
          <t>entrada</t>
        </is>
      </c>
      <c r="E49" s="19" t="inlineStr">
        <is>
          <t>Reembolso</t>
        </is>
      </c>
      <c r="F49" s="19" t="inlineStr">
        <is>
          <t>2026-02</t>
        </is>
      </c>
      <c r="G49" s="19" t="inlineStr">
        <is>
          <t>Itaú CC</t>
        </is>
      </c>
    </row>
    <row r="50">
      <c r="A50" s="21" t="inlineStr">
        <is>
          <t>2026-02-26</t>
        </is>
      </c>
      <c r="B50" s="21" t="inlineStr">
        <is>
          <t>PIX TRANSF RENATO 26/02</t>
        </is>
      </c>
      <c r="C50" s="22" t="n">
        <v>-60000</v>
      </c>
      <c r="D50" s="21" t="inlineStr">
        <is>
          <t>saída</t>
        </is>
      </c>
      <c r="E50" s="21" t="inlineStr">
        <is>
          <t>Transferência Própria</t>
        </is>
      </c>
      <c r="F50" s="21" t="inlineStr">
        <is>
          <t>2026-02</t>
        </is>
      </c>
      <c r="G50" s="21" t="inlineStr">
        <is>
          <t>Itaú CC</t>
        </is>
      </c>
    </row>
    <row r="51">
      <c r="A51" s="21" t="inlineStr">
        <is>
          <t>2026-02-24</t>
        </is>
      </c>
      <c r="B51" s="21" t="inlineStr">
        <is>
          <t>PAG BOLETO YELUM SEGUROS S A</t>
        </is>
      </c>
      <c r="C51" s="22" t="n">
        <v>-2799.72</v>
      </c>
      <c r="D51" s="21" t="inlineStr">
        <is>
          <t>saída</t>
        </is>
      </c>
      <c r="E51" s="21" t="inlineStr">
        <is>
          <t>Seguro</t>
        </is>
      </c>
      <c r="F51" s="21" t="inlineStr">
        <is>
          <t>2026-02</t>
        </is>
      </c>
      <c r="G51" s="21" t="inlineStr">
        <is>
          <t>Itaú CC</t>
        </is>
      </c>
    </row>
    <row r="52">
      <c r="A52" s="19" t="inlineStr">
        <is>
          <t>2026-02-23</t>
        </is>
      </c>
      <c r="B52" s="19" t="inlineStr">
        <is>
          <t>PIX TRANSF GABRIEL21/02</t>
        </is>
      </c>
      <c r="C52" s="20" t="n">
        <v>3000</v>
      </c>
      <c r="D52" s="19" t="inlineStr">
        <is>
          <t>entrada</t>
        </is>
      </c>
      <c r="E52" s="19" t="inlineStr">
        <is>
          <t>Transferência Gabriel</t>
        </is>
      </c>
      <c r="F52" s="19" t="inlineStr">
        <is>
          <t>2026-02</t>
        </is>
      </c>
      <c r="G52" s="19" t="inlineStr">
        <is>
          <t>Itaú CC</t>
        </is>
      </c>
    </row>
    <row r="53">
      <c r="A53" s="19" t="inlineStr">
        <is>
          <t>2026-02-23</t>
        </is>
      </c>
      <c r="B53" s="19" t="inlineStr">
        <is>
          <t>PIX TRANSF GABRIEL21/02</t>
        </is>
      </c>
      <c r="C53" s="20" t="n">
        <v>2000</v>
      </c>
      <c r="D53" s="19" t="inlineStr">
        <is>
          <t>entrada</t>
        </is>
      </c>
      <c r="E53" s="19" t="inlineStr">
        <is>
          <t>Transferência Gabriel</t>
        </is>
      </c>
      <c r="F53" s="19" t="inlineStr">
        <is>
          <t>2026-02</t>
        </is>
      </c>
      <c r="G53" s="19" t="inlineStr">
        <is>
          <t>Itaú CC</t>
        </is>
      </c>
    </row>
    <row r="54">
      <c r="A54" s="21" t="inlineStr">
        <is>
          <t>2026-02-23</t>
        </is>
      </c>
      <c r="B54" s="21" t="inlineStr">
        <is>
          <t>PIX WHATS QRCODE S2 Tech21/02</t>
        </is>
      </c>
      <c r="C54" s="22" t="n">
        <v>-139.3</v>
      </c>
      <c r="D54" s="21" t="inlineStr">
        <is>
          <t>saída</t>
        </is>
      </c>
      <c r="E54" s="21" t="inlineStr">
        <is>
          <t>Outros</t>
        </is>
      </c>
      <c r="F54" s="21" t="inlineStr">
        <is>
          <t>2026-02</t>
        </is>
      </c>
      <c r="G54" s="21" t="inlineStr">
        <is>
          <t>Itaú CC</t>
        </is>
      </c>
    </row>
    <row r="55">
      <c r="A55" s="21" t="inlineStr">
        <is>
          <t>2026-02-23</t>
        </is>
      </c>
      <c r="B55" s="21" t="inlineStr">
        <is>
          <t>PIX WHATS CAETANO23/02</t>
        </is>
      </c>
      <c r="C55" s="22" t="n">
        <v>-135</v>
      </c>
      <c r="D55" s="21" t="inlineStr">
        <is>
          <t>saída</t>
        </is>
      </c>
      <c r="E55" s="21" t="inlineStr">
        <is>
          <t>Outros</t>
        </is>
      </c>
      <c r="F55" s="21" t="inlineStr">
        <is>
          <t>2026-02</t>
        </is>
      </c>
      <c r="G55" s="21" t="inlineStr">
        <is>
          <t>Itaú CC</t>
        </is>
      </c>
    </row>
    <row r="56">
      <c r="A56" s="21" t="inlineStr">
        <is>
          <t>2026-02-20</t>
        </is>
      </c>
      <c r="B56" s="21" t="inlineStr">
        <is>
          <t>PAG TIT INT 898033777000</t>
        </is>
      </c>
      <c r="C56" s="22" t="n">
        <v>-58058.6</v>
      </c>
      <c r="D56" s="21" t="inlineStr">
        <is>
          <t>saída</t>
        </is>
      </c>
      <c r="E56" s="21" t="inlineStr">
        <is>
          <t>Obra/Reforma</t>
        </is>
      </c>
      <c r="F56" s="21" t="inlineStr">
        <is>
          <t>2026-02</t>
        </is>
      </c>
      <c r="G56" s="21" t="inlineStr">
        <is>
          <t>Itaú CC</t>
        </is>
      </c>
    </row>
    <row r="57">
      <c r="A57" s="19" t="inlineStr">
        <is>
          <t>2026-02-20</t>
        </is>
      </c>
      <c r="B57" s="19" t="inlineStr">
        <is>
          <t>RESGATE CDB DI</t>
        </is>
      </c>
      <c r="C57" s="20" t="n">
        <v>30000.12</v>
      </c>
      <c r="D57" s="19" t="inlineStr">
        <is>
          <t>entrada</t>
        </is>
      </c>
      <c r="E57" s="19" t="inlineStr">
        <is>
          <t>Resgate CDB</t>
        </is>
      </c>
      <c r="F57" s="19" t="inlineStr">
        <is>
          <t>2026-02</t>
        </is>
      </c>
      <c r="G57" s="19" t="inlineStr">
        <is>
          <t>Itaú CC</t>
        </is>
      </c>
    </row>
    <row r="58">
      <c r="A58" s="21" t="inlineStr">
        <is>
          <t>2026-02-20</t>
        </is>
      </c>
      <c r="B58" s="21" t="inlineStr">
        <is>
          <t>PIX TRANSF LUCIANO20/02</t>
        </is>
      </c>
      <c r="C58" s="22" t="n">
        <v>-250</v>
      </c>
      <c r="D58" s="21" t="inlineStr">
        <is>
          <t>saída</t>
        </is>
      </c>
      <c r="E58" s="21" t="inlineStr">
        <is>
          <t>Outros</t>
        </is>
      </c>
      <c r="F58" s="21" t="inlineStr">
        <is>
          <t>2026-02</t>
        </is>
      </c>
      <c r="G58" s="21" t="inlineStr">
        <is>
          <t>Itaú CC</t>
        </is>
      </c>
    </row>
    <row r="59">
      <c r="A59" s="21" t="inlineStr">
        <is>
          <t>2026-02-20</t>
        </is>
      </c>
      <c r="B59" s="21" t="inlineStr">
        <is>
          <t>PIX TRANSF AILTON 20/02</t>
        </is>
      </c>
      <c r="C59" s="22" t="n">
        <v>-220</v>
      </c>
      <c r="D59" s="21" t="inlineStr">
        <is>
          <t>saída</t>
        </is>
      </c>
      <c r="E59" s="21" t="inlineStr">
        <is>
          <t>Transporte/Táxi</t>
        </is>
      </c>
      <c r="F59" s="21" t="inlineStr">
        <is>
          <t>2026-02</t>
        </is>
      </c>
      <c r="G59" s="21" t="inlineStr">
        <is>
          <t>Itaú CC</t>
        </is>
      </c>
    </row>
    <row r="60">
      <c r="A60" s="21" t="inlineStr">
        <is>
          <t>2026-02-19</t>
        </is>
      </c>
      <c r="B60" s="21" t="inlineStr">
        <is>
          <t>PIX TRANSF JOELMA 19/02</t>
        </is>
      </c>
      <c r="C60" s="22" t="n">
        <v>-230</v>
      </c>
      <c r="D60" s="21" t="inlineStr">
        <is>
          <t>saída</t>
        </is>
      </c>
      <c r="E60" s="21" t="inlineStr">
        <is>
          <t>Outros</t>
        </is>
      </c>
      <c r="F60" s="21" t="inlineStr">
        <is>
          <t>2026-02</t>
        </is>
      </c>
      <c r="G60" s="21" t="inlineStr">
        <is>
          <t>Itaú CC</t>
        </is>
      </c>
    </row>
    <row r="61">
      <c r="A61" s="21" t="inlineStr">
        <is>
          <t>2026-02-18</t>
        </is>
      </c>
      <c r="B61" s="21" t="inlineStr">
        <is>
          <t>PIX TRANSF MARCOS 14/02</t>
        </is>
      </c>
      <c r="C61" s="22" t="n">
        <v>-4200</v>
      </c>
      <c r="D61" s="21" t="inlineStr">
        <is>
          <t>saída</t>
        </is>
      </c>
      <c r="E61" s="21" t="inlineStr">
        <is>
          <t>Outros</t>
        </is>
      </c>
      <c r="F61" s="21" t="inlineStr">
        <is>
          <t>2026-02</t>
        </is>
      </c>
      <c r="G61" s="21" t="inlineStr">
        <is>
          <t>Itaú CC</t>
        </is>
      </c>
    </row>
    <row r="62">
      <c r="A62" s="21" t="inlineStr">
        <is>
          <t>2026-02-18</t>
        </is>
      </c>
      <c r="B62" s="21" t="inlineStr">
        <is>
          <t>PIX TRANSF Davi Ar15/02</t>
        </is>
      </c>
      <c r="C62" s="22" t="n">
        <v>-100</v>
      </c>
      <c r="D62" s="21" t="inlineStr">
        <is>
          <t>saída</t>
        </is>
      </c>
      <c r="E62" s="21" t="inlineStr">
        <is>
          <t>Outros</t>
        </is>
      </c>
      <c r="F62" s="21" t="inlineStr">
        <is>
          <t>2026-02</t>
        </is>
      </c>
      <c r="G62" s="21" t="inlineStr">
        <is>
          <t>Itaú CC</t>
        </is>
      </c>
    </row>
    <row r="63">
      <c r="A63" s="21" t="inlineStr">
        <is>
          <t>2026-02-18</t>
        </is>
      </c>
      <c r="B63" s="21" t="inlineStr">
        <is>
          <t>PIX QRS REINIVALDO 15/02</t>
        </is>
      </c>
      <c r="C63" s="22" t="n">
        <v>-30</v>
      </c>
      <c r="D63" s="21" t="inlineStr">
        <is>
          <t>saída</t>
        </is>
      </c>
      <c r="E63" s="21" t="inlineStr">
        <is>
          <t>Outros</t>
        </is>
      </c>
      <c r="F63" s="21" t="inlineStr">
        <is>
          <t>2026-02</t>
        </is>
      </c>
      <c r="G63" s="21" t="inlineStr">
        <is>
          <t>Itaú CC</t>
        </is>
      </c>
    </row>
    <row r="64">
      <c r="A64" s="21" t="inlineStr">
        <is>
          <t>2026-02-18</t>
        </is>
      </c>
      <c r="B64" s="21" t="inlineStr">
        <is>
          <t>PIX TRANSF José Ra16/02</t>
        </is>
      </c>
      <c r="C64" s="22" t="n">
        <v>-30</v>
      </c>
      <c r="D64" s="21" t="inlineStr">
        <is>
          <t>saída</t>
        </is>
      </c>
      <c r="E64" s="21" t="inlineStr">
        <is>
          <t>Outros</t>
        </is>
      </c>
      <c r="F64" s="21" t="inlineStr">
        <is>
          <t>2026-02</t>
        </is>
      </c>
      <c r="G64" s="21" t="inlineStr">
        <is>
          <t>Itaú CC</t>
        </is>
      </c>
    </row>
    <row r="65">
      <c r="A65" s="21" t="inlineStr">
        <is>
          <t>2026-02-18</t>
        </is>
      </c>
      <c r="B65" s="21" t="inlineStr">
        <is>
          <t>PIX TRANSF AILTON 17/02</t>
        </is>
      </c>
      <c r="C65" s="22" t="n">
        <v>-200</v>
      </c>
      <c r="D65" s="21" t="inlineStr">
        <is>
          <t>saída</t>
        </is>
      </c>
      <c r="E65" s="21" t="inlineStr">
        <is>
          <t>Transporte/Táxi</t>
        </is>
      </c>
      <c r="F65" s="21" t="inlineStr">
        <is>
          <t>2026-02</t>
        </is>
      </c>
      <c r="G65" s="21" t="inlineStr">
        <is>
          <t>Itaú CC</t>
        </is>
      </c>
    </row>
    <row r="66">
      <c r="A66" s="21" t="inlineStr">
        <is>
          <t>2026-02-18</t>
        </is>
      </c>
      <c r="B66" s="21" t="inlineStr">
        <is>
          <t>PIX WHATS CAETANO18/02</t>
        </is>
      </c>
      <c r="C66" s="22" t="n">
        <v>-200</v>
      </c>
      <c r="D66" s="21" t="inlineStr">
        <is>
          <t>saída</t>
        </is>
      </c>
      <c r="E66" s="21" t="inlineStr">
        <is>
          <t>Outros</t>
        </is>
      </c>
      <c r="F66" s="21" t="inlineStr">
        <is>
          <t>2026-02</t>
        </is>
      </c>
      <c r="G66" s="21" t="inlineStr">
        <is>
          <t>Itaú CC</t>
        </is>
      </c>
    </row>
    <row r="67">
      <c r="A67" s="21" t="inlineStr">
        <is>
          <t>2026-02-18</t>
        </is>
      </c>
      <c r="B67" s="21" t="inlineStr">
        <is>
          <t>PERS BLACK 3629-9134</t>
        </is>
      </c>
      <c r="C67" s="22" t="n">
        <v>-6884.16</v>
      </c>
      <c r="D67" s="21" t="inlineStr">
        <is>
          <t>saída</t>
        </is>
      </c>
      <c r="E67" s="21" t="inlineStr">
        <is>
          <t>Fatura Cartão Itaú</t>
        </is>
      </c>
      <c r="F67" s="21" t="inlineStr">
        <is>
          <t>2026-02</t>
        </is>
      </c>
      <c r="G67" s="21" t="inlineStr">
        <is>
          <t>Itaú CC</t>
        </is>
      </c>
    </row>
    <row r="68">
      <c r="A68" s="21" t="inlineStr">
        <is>
          <t>2026-02-13</t>
        </is>
      </c>
      <c r="B68" s="21" t="inlineStr">
        <is>
          <t>PIX TRANSF AILTON 13/02</t>
        </is>
      </c>
      <c r="C68" s="22" t="n">
        <v>-80</v>
      </c>
      <c r="D68" s="21" t="inlineStr">
        <is>
          <t>saída</t>
        </is>
      </c>
      <c r="E68" s="21" t="inlineStr">
        <is>
          <t>Transporte/Táxi</t>
        </is>
      </c>
      <c r="F68" s="21" t="inlineStr">
        <is>
          <t>2026-02</t>
        </is>
      </c>
      <c r="G68" s="21" t="inlineStr">
        <is>
          <t>Itaú CC</t>
        </is>
      </c>
    </row>
    <row r="69">
      <c r="A69" s="21" t="inlineStr">
        <is>
          <t>2026-02-13</t>
        </is>
      </c>
      <c r="B69" s="21" t="inlineStr">
        <is>
          <t>PIX TRANSF AILTON 13/02</t>
        </is>
      </c>
      <c r="C69" s="22" t="n">
        <v>-100</v>
      </c>
      <c r="D69" s="21" t="inlineStr">
        <is>
          <t>saída</t>
        </is>
      </c>
      <c r="E69" s="21" t="inlineStr">
        <is>
          <t>Transporte/Táxi</t>
        </is>
      </c>
      <c r="F69" s="21" t="inlineStr">
        <is>
          <t>2026-02</t>
        </is>
      </c>
      <c r="G69" s="21" t="inlineStr">
        <is>
          <t>Itaú CC</t>
        </is>
      </c>
    </row>
    <row r="70">
      <c r="A70" s="19" t="inlineStr">
        <is>
          <t>2026-02-12</t>
        </is>
      </c>
      <c r="B70" s="19" t="inlineStr">
        <is>
          <t>PIX TRANSF GUILHER12/02</t>
        </is>
      </c>
      <c r="C70" s="20" t="n">
        <v>5960</v>
      </c>
      <c r="D70" s="19" t="inlineStr">
        <is>
          <t>entrada</t>
        </is>
      </c>
      <c r="E70" s="19" t="inlineStr">
        <is>
          <t>Outros</t>
        </is>
      </c>
      <c r="F70" s="19" t="inlineStr">
        <is>
          <t>2026-02</t>
        </is>
      </c>
      <c r="G70" s="19" t="inlineStr">
        <is>
          <t>Itaú CC</t>
        </is>
      </c>
    </row>
    <row r="71">
      <c r="A71" s="21" t="inlineStr">
        <is>
          <t>2026-02-11</t>
        </is>
      </c>
      <c r="B71" s="21" t="inlineStr">
        <is>
          <t>PIX TRANSF AILTON 11/02</t>
        </is>
      </c>
      <c r="C71" s="22" t="n">
        <v>-500</v>
      </c>
      <c r="D71" s="21" t="inlineStr">
        <is>
          <t>saída</t>
        </is>
      </c>
      <c r="E71" s="21" t="inlineStr">
        <is>
          <t>Transporte/Táxi</t>
        </is>
      </c>
      <c r="F71" s="21" t="inlineStr">
        <is>
          <t>2026-02</t>
        </is>
      </c>
      <c r="G71" s="21" t="inlineStr">
        <is>
          <t>Itaú CC</t>
        </is>
      </c>
    </row>
    <row r="72">
      <c r="A72" s="21" t="inlineStr">
        <is>
          <t>2026-02-10</t>
        </is>
      </c>
      <c r="B72" s="21" t="inlineStr">
        <is>
          <t>PIX TRANSF NOVO AM10/02</t>
        </is>
      </c>
      <c r="C72" s="22" t="n">
        <v>-7100</v>
      </c>
      <c r="D72" s="21" t="inlineStr">
        <is>
          <t>saída</t>
        </is>
      </c>
      <c r="E72" s="21" t="inlineStr">
        <is>
          <t>Educação</t>
        </is>
      </c>
      <c r="F72" s="21" t="inlineStr">
        <is>
          <t>2026-02</t>
        </is>
      </c>
      <c r="G72" s="21" t="inlineStr">
        <is>
          <t>Itaú CC</t>
        </is>
      </c>
    </row>
    <row r="73">
      <c r="A73" s="21" t="inlineStr">
        <is>
          <t>2026-02-10</t>
        </is>
      </c>
      <c r="B73" s="21" t="inlineStr">
        <is>
          <t>PIX WHATS CARLOS 10/02</t>
        </is>
      </c>
      <c r="C73" s="22" t="n">
        <v>-70</v>
      </c>
      <c r="D73" s="21" t="inlineStr">
        <is>
          <t>saída</t>
        </is>
      </c>
      <c r="E73" s="21" t="inlineStr">
        <is>
          <t>Outros</t>
        </is>
      </c>
      <c r="F73" s="21" t="inlineStr">
        <is>
          <t>2026-02</t>
        </is>
      </c>
      <c r="G73" s="21" t="inlineStr">
        <is>
          <t>Itaú CC</t>
        </is>
      </c>
    </row>
    <row r="74">
      <c r="A74" s="21" t="inlineStr">
        <is>
          <t>2026-02-10</t>
        </is>
      </c>
      <c r="B74" s="21" t="inlineStr">
        <is>
          <t>DA VIVO-SP 11192739056</t>
        </is>
      </c>
      <c r="C74" s="22" t="n">
        <v>-295.99</v>
      </c>
      <c r="D74" s="21" t="inlineStr">
        <is>
          <t>saída</t>
        </is>
      </c>
      <c r="E74" s="21" t="inlineStr">
        <is>
          <t>Telecomunicações</t>
        </is>
      </c>
      <c r="F74" s="21" t="inlineStr">
        <is>
          <t>2026-02</t>
        </is>
      </c>
      <c r="G74" s="21" t="inlineStr">
        <is>
          <t>Itaú CC</t>
        </is>
      </c>
    </row>
    <row r="75">
      <c r="A75" s="21" t="inlineStr">
        <is>
          <t>2026-02-10</t>
        </is>
      </c>
      <c r="B75" s="21" t="inlineStr">
        <is>
          <t>DA CLARO BL/IT 53719250</t>
        </is>
      </c>
      <c r="C75" s="22" t="n">
        <v>-301.49</v>
      </c>
      <c r="D75" s="21" t="inlineStr">
        <is>
          <t>saída</t>
        </is>
      </c>
      <c r="E75" s="21" t="inlineStr">
        <is>
          <t>Telecomunicações</t>
        </is>
      </c>
      <c r="F75" s="21" t="inlineStr">
        <is>
          <t>2026-02</t>
        </is>
      </c>
      <c r="G75" s="21" t="inlineStr">
        <is>
          <t>Itaú CC</t>
        </is>
      </c>
    </row>
    <row r="76">
      <c r="A76" s="21" t="inlineStr">
        <is>
          <t>2026-02-09</t>
        </is>
      </c>
      <c r="B76" s="21" t="inlineStr">
        <is>
          <t>PIX TRANSF SIMONE 07/02</t>
        </is>
      </c>
      <c r="C76" s="22" t="n">
        <v>-22</v>
      </c>
      <c r="D76" s="21" t="inlineStr">
        <is>
          <t>saída</t>
        </is>
      </c>
      <c r="E76" s="21" t="inlineStr">
        <is>
          <t>Outros</t>
        </is>
      </c>
      <c r="F76" s="21" t="inlineStr">
        <is>
          <t>2026-02</t>
        </is>
      </c>
      <c r="G76" s="21" t="inlineStr">
        <is>
          <t>Itaú CC</t>
        </is>
      </c>
    </row>
    <row r="77">
      <c r="A77" s="21" t="inlineStr">
        <is>
          <t>2026-02-09</t>
        </is>
      </c>
      <c r="B77" s="21" t="inlineStr">
        <is>
          <t>PIX QRS HORTUS COME07/02</t>
        </is>
      </c>
      <c r="C77" s="22" t="n">
        <v>-349.13</v>
      </c>
      <c r="D77" s="21" t="inlineStr">
        <is>
          <t>saída</t>
        </is>
      </c>
      <c r="E77" s="21" t="inlineStr">
        <is>
          <t>Alimentação</t>
        </is>
      </c>
      <c r="F77" s="21" t="inlineStr">
        <is>
          <t>2026-02</t>
        </is>
      </c>
      <c r="G77" s="21" t="inlineStr">
        <is>
          <t>Itaú CC</t>
        </is>
      </c>
    </row>
    <row r="78">
      <c r="A78" s="21" t="inlineStr">
        <is>
          <t>2026-02-09</t>
        </is>
      </c>
      <c r="B78" s="21" t="inlineStr">
        <is>
          <t>PIX QRS AZUL LINHAS08/02</t>
        </is>
      </c>
      <c r="C78" s="22" t="n">
        <v>-299.31</v>
      </c>
      <c r="D78" s="21" t="inlineStr">
        <is>
          <t>saída</t>
        </is>
      </c>
      <c r="E78" s="21" t="inlineStr">
        <is>
          <t>Viagens/Passagens</t>
        </is>
      </c>
      <c r="F78" s="21" t="inlineStr">
        <is>
          <t>2026-02</t>
        </is>
      </c>
      <c r="G78" s="21" t="inlineStr">
        <is>
          <t>Itaú CC</t>
        </is>
      </c>
    </row>
    <row r="79">
      <c r="A79" s="21" t="inlineStr">
        <is>
          <t>2026-02-09</t>
        </is>
      </c>
      <c r="B79" s="21" t="inlineStr">
        <is>
          <t>PIX QRS 29. TABELIA09/02</t>
        </is>
      </c>
      <c r="C79" s="22" t="n">
        <v>-615.3</v>
      </c>
      <c r="D79" s="21" t="inlineStr">
        <is>
          <t>saída</t>
        </is>
      </c>
      <c r="E79" s="21" t="inlineStr">
        <is>
          <t>Outros</t>
        </is>
      </c>
      <c r="F79" s="21" t="inlineStr">
        <is>
          <t>2026-02</t>
        </is>
      </c>
      <c r="G79" s="21" t="inlineStr">
        <is>
          <t>Itaú CC</t>
        </is>
      </c>
    </row>
    <row r="80">
      <c r="A80" s="19" t="inlineStr">
        <is>
          <t>2026-02-09</t>
        </is>
      </c>
      <c r="B80" s="19" t="inlineStr">
        <is>
          <t>PIX TRANSF GABRIEL09/02</t>
        </is>
      </c>
      <c r="C80" s="20" t="n">
        <v>-5000</v>
      </c>
      <c r="D80" s="19" t="inlineStr">
        <is>
          <t>entrada</t>
        </is>
      </c>
      <c r="E80" s="19" t="inlineStr">
        <is>
          <t>Transferência Gabriel</t>
        </is>
      </c>
      <c r="F80" s="19" t="inlineStr">
        <is>
          <t>2026-02</t>
        </is>
      </c>
      <c r="G80" s="19" t="inlineStr">
        <is>
          <t>Itaú CC</t>
        </is>
      </c>
    </row>
    <row r="81">
      <c r="A81" s="21" t="inlineStr">
        <is>
          <t>2026-02-09</t>
        </is>
      </c>
      <c r="B81" s="21" t="inlineStr">
        <is>
          <t>PIX QRS HORTUS COME09/02</t>
        </is>
      </c>
      <c r="C81" s="22" t="n">
        <v>-119.36</v>
      </c>
      <c r="D81" s="21" t="inlineStr">
        <is>
          <t>saída</t>
        </is>
      </c>
      <c r="E81" s="21" t="inlineStr">
        <is>
          <t>Alimentação</t>
        </is>
      </c>
      <c r="F81" s="21" t="inlineStr">
        <is>
          <t>2026-02</t>
        </is>
      </c>
      <c r="G81" s="21" t="inlineStr">
        <is>
          <t>Itaú CC</t>
        </is>
      </c>
    </row>
    <row r="82">
      <c r="A82" s="19" t="inlineStr">
        <is>
          <t>2026-02-06</t>
        </is>
      </c>
      <c r="B82" s="19" t="inlineStr">
        <is>
          <t>TED 208.0001.RENATO L V</t>
        </is>
      </c>
      <c r="C82" s="20" t="n">
        <v>50700.32</v>
      </c>
      <c r="D82" s="19" t="inlineStr">
        <is>
          <t>entrada</t>
        </is>
      </c>
      <c r="E82" s="19" t="inlineStr">
        <is>
          <t>Transferência Própria</t>
        </is>
      </c>
      <c r="F82" s="19" t="inlineStr">
        <is>
          <t>2026-02</t>
        </is>
      </c>
      <c r="G82" s="19" t="inlineStr">
        <is>
          <t>Itaú CC</t>
        </is>
      </c>
    </row>
    <row r="83">
      <c r="A83" s="21" t="inlineStr">
        <is>
          <t>2026-02-06</t>
        </is>
      </c>
      <c r="B83" s="21" t="inlineStr">
        <is>
          <t>PAG BOLETO CLUBE PAINEIRAS DO MORUMBY</t>
        </is>
      </c>
      <c r="C83" s="22" t="n">
        <v>-1321.92</v>
      </c>
      <c r="D83" s="21" t="inlineStr">
        <is>
          <t>saída</t>
        </is>
      </c>
      <c r="E83" s="21" t="inlineStr">
        <is>
          <t>Clube Paineiras</t>
        </is>
      </c>
      <c r="F83" s="21" t="inlineStr">
        <is>
          <t>2026-02</t>
        </is>
      </c>
      <c r="G83" s="21" t="inlineStr">
        <is>
          <t>Itaú CC</t>
        </is>
      </c>
    </row>
    <row r="84">
      <c r="A84" s="21" t="inlineStr">
        <is>
          <t>2026-02-06</t>
        </is>
      </c>
      <c r="B84" s="21" t="inlineStr">
        <is>
          <t>PAG BOLETO ESPORTE CLUBE PINHEIROS</t>
        </is>
      </c>
      <c r="C84" s="22" t="n">
        <v>-632</v>
      </c>
      <c r="D84" s="21" t="inlineStr">
        <is>
          <t>saída</t>
        </is>
      </c>
      <c r="E84" s="21" t="inlineStr">
        <is>
          <t>Clube ECP</t>
        </is>
      </c>
      <c r="F84" s="21" t="inlineStr">
        <is>
          <t>2026-02</t>
        </is>
      </c>
      <c r="G84" s="21" t="inlineStr">
        <is>
          <t>Itaú CC</t>
        </is>
      </c>
    </row>
    <row r="85">
      <c r="A85" s="21" t="inlineStr">
        <is>
          <t>2026-02-06</t>
        </is>
      </c>
      <c r="B85" s="21" t="inlineStr">
        <is>
          <t>LCA APLICACAO PRE</t>
        </is>
      </c>
      <c r="C85" s="22" t="n">
        <v>-130000</v>
      </c>
      <c r="D85" s="21" t="inlineStr">
        <is>
          <t>saída</t>
        </is>
      </c>
      <c r="E85" s="21" t="inlineStr">
        <is>
          <t>Aplicação LCA</t>
        </is>
      </c>
      <c r="F85" s="21" t="inlineStr">
        <is>
          <t>2026-02</t>
        </is>
      </c>
      <c r="G85" s="21" t="inlineStr">
        <is>
          <t>Itaú CC</t>
        </is>
      </c>
    </row>
    <row r="86">
      <c r="A86" s="19" t="inlineStr">
        <is>
          <t>2026-02-06</t>
        </is>
      </c>
      <c r="B86" s="19" t="inlineStr">
        <is>
          <t>SISPAG G4 EDUCACAO LTDA</t>
        </is>
      </c>
      <c r="C86" s="20" t="n">
        <v>3500</v>
      </c>
      <c r="D86" s="19" t="inlineStr">
        <is>
          <t>entrada</t>
        </is>
      </c>
      <c r="E86" s="19" t="inlineStr">
        <is>
          <t>Reembolso</t>
        </is>
      </c>
      <c r="F86" s="19" t="inlineStr">
        <is>
          <t>2026-02</t>
        </is>
      </c>
      <c r="G86" s="19" t="inlineStr">
        <is>
          <t>Itaú CC</t>
        </is>
      </c>
    </row>
    <row r="87">
      <c r="A87" s="19" t="inlineStr">
        <is>
          <t>2026-02-06</t>
        </is>
      </c>
      <c r="B87" s="19" t="inlineStr">
        <is>
          <t>VENCIMENTO LCI</t>
        </is>
      </c>
      <c r="C87" s="20" t="n">
        <v>125864.92</v>
      </c>
      <c r="D87" s="19" t="inlineStr">
        <is>
          <t>entrada</t>
        </is>
      </c>
      <c r="E87" s="19" t="inlineStr">
        <is>
          <t>Rendimentos</t>
        </is>
      </c>
      <c r="F87" s="19" t="inlineStr">
        <is>
          <t>2026-02</t>
        </is>
      </c>
      <c r="G87" s="19" t="inlineStr">
        <is>
          <t>Itaú CC</t>
        </is>
      </c>
    </row>
    <row r="88">
      <c r="A88" s="21" t="inlineStr">
        <is>
          <t>2026-02-05</t>
        </is>
      </c>
      <c r="B88" s="21" t="inlineStr">
        <is>
          <t>PIX QRS MERCADO BIT05/02</t>
        </is>
      </c>
      <c r="C88" s="22" t="n">
        <v>-6000</v>
      </c>
      <c r="D88" s="21" t="inlineStr">
        <is>
          <t>saída</t>
        </is>
      </c>
      <c r="E88" s="21" t="inlineStr">
        <is>
          <t>Cripto</t>
        </is>
      </c>
      <c r="F88" s="21" t="inlineStr">
        <is>
          <t>2026-02</t>
        </is>
      </c>
      <c r="G88" s="21" t="inlineStr">
        <is>
          <t>Itaú CC</t>
        </is>
      </c>
    </row>
    <row r="89">
      <c r="A89" s="19" t="inlineStr">
        <is>
          <t>2026-02-05</t>
        </is>
      </c>
      <c r="B89" s="19" t="inlineStr">
        <is>
          <t>RESGATE CDB DI</t>
        </is>
      </c>
      <c r="C89" s="20" t="n">
        <v>5000.32</v>
      </c>
      <c r="D89" s="19" t="inlineStr">
        <is>
          <t>entrada</t>
        </is>
      </c>
      <c r="E89" s="19" t="inlineStr">
        <is>
          <t>Resgate CDB</t>
        </is>
      </c>
      <c r="F89" s="19" t="inlineStr">
        <is>
          <t>2026-02</t>
        </is>
      </c>
      <c r="G89" s="19" t="inlineStr">
        <is>
          <t>Itaú CC</t>
        </is>
      </c>
    </row>
    <row r="90">
      <c r="A90" s="19" t="inlineStr">
        <is>
          <t>2026-02-05</t>
        </is>
      </c>
      <c r="B90" s="19" t="inlineStr">
        <is>
          <t>RESGATE CDB DI</t>
        </is>
      </c>
      <c r="C90" s="20" t="n">
        <v>51000.16</v>
      </c>
      <c r="D90" s="19" t="inlineStr">
        <is>
          <t>entrada</t>
        </is>
      </c>
      <c r="E90" s="19" t="inlineStr">
        <is>
          <t>Resgate CDB</t>
        </is>
      </c>
      <c r="F90" s="19" t="inlineStr">
        <is>
          <t>2026-02</t>
        </is>
      </c>
      <c r="G90" s="19" t="inlineStr">
        <is>
          <t>Itaú CC</t>
        </is>
      </c>
    </row>
    <row r="91">
      <c r="A91" s="21" t="inlineStr">
        <is>
          <t>2026-02-05</t>
        </is>
      </c>
      <c r="B91" s="21" t="inlineStr">
        <is>
          <t>PIX TRANSF RENATO 05/02</t>
        </is>
      </c>
      <c r="C91" s="22" t="n">
        <v>-51000</v>
      </c>
      <c r="D91" s="21" t="inlineStr">
        <is>
          <t>saída</t>
        </is>
      </c>
      <c r="E91" s="21" t="inlineStr">
        <is>
          <t>Transferência Própria</t>
        </is>
      </c>
      <c r="F91" s="21" t="inlineStr">
        <is>
          <t>2026-02</t>
        </is>
      </c>
      <c r="G91" s="21" t="inlineStr">
        <is>
          <t>Itaú CC</t>
        </is>
      </c>
    </row>
    <row r="92">
      <c r="A92" s="21" t="inlineStr">
        <is>
          <t>2026-02-02</t>
        </is>
      </c>
      <c r="B92" s="21" t="inlineStr">
        <is>
          <t>PIX TRANSF DMW CON31/01</t>
        </is>
      </c>
      <c r="C92" s="22" t="n">
        <v>-478.4</v>
      </c>
      <c r="D92" s="21" t="inlineStr">
        <is>
          <t>saída</t>
        </is>
      </c>
      <c r="E92" s="21" t="inlineStr">
        <is>
          <t>Contabilidade</t>
        </is>
      </c>
      <c r="F92" s="21" t="inlineStr">
        <is>
          <t>2026-02</t>
        </is>
      </c>
      <c r="G92" s="21" t="inlineStr">
        <is>
          <t>Itaú CC</t>
        </is>
      </c>
    </row>
    <row r="93">
      <c r="A93" s="21" t="inlineStr">
        <is>
          <t>2026-02-02</t>
        </is>
      </c>
      <c r="B93" s="21" t="inlineStr">
        <is>
          <t>PIX TRANSF RENATO 31/01</t>
        </is>
      </c>
      <c r="C93" s="22" t="n">
        <v>-50700</v>
      </c>
      <c r="D93" s="21" t="inlineStr">
        <is>
          <t>saída</t>
        </is>
      </c>
      <c r="E93" s="21" t="inlineStr">
        <is>
          <t>Transferência Própria</t>
        </is>
      </c>
      <c r="F93" s="21" t="inlineStr">
        <is>
          <t>2026-02</t>
        </is>
      </c>
      <c r="G93" s="21" t="inlineStr">
        <is>
          <t>Itaú CC</t>
        </is>
      </c>
    </row>
    <row r="94">
      <c r="A94" s="19" t="inlineStr">
        <is>
          <t>2026-02-02</t>
        </is>
      </c>
      <c r="B94" s="19" t="inlineStr">
        <is>
          <t>RESGATE CDB DI</t>
        </is>
      </c>
      <c r="C94" s="20" t="n">
        <v>20000.81</v>
      </c>
      <c r="D94" s="19" t="inlineStr">
        <is>
          <t>entrada</t>
        </is>
      </c>
      <c r="E94" s="19" t="inlineStr">
        <is>
          <t>Resgate CDB</t>
        </is>
      </c>
      <c r="F94" s="19" t="inlineStr">
        <is>
          <t>2026-02</t>
        </is>
      </c>
      <c r="G94" s="19" t="inlineStr">
        <is>
          <t>Itaú CC</t>
        </is>
      </c>
    </row>
    <row r="95">
      <c r="A95" s="19" t="inlineStr">
        <is>
          <t>2026-02-02</t>
        </is>
      </c>
      <c r="B95" s="19" t="inlineStr">
        <is>
          <t>PAGTO EM CONTA CORREN</t>
        </is>
      </c>
      <c r="C95" s="20" t="n">
        <v>1385.38</v>
      </c>
      <c r="D95" s="19" t="inlineStr">
        <is>
          <t>entrada</t>
        </is>
      </c>
      <c r="E95" s="19" t="inlineStr">
        <is>
          <t>Dividendos Nord</t>
        </is>
      </c>
      <c r="F95" s="19" t="inlineStr">
        <is>
          <t>2026-02</t>
        </is>
      </c>
      <c r="G95" s="19" t="inlineStr">
        <is>
          <t>Itaú CC</t>
        </is>
      </c>
    </row>
    <row r="96">
      <c r="A96" s="21" t="inlineStr">
        <is>
          <t>2026-01-30</t>
        </is>
      </c>
      <c r="B96" s="21" t="inlineStr">
        <is>
          <t>PIX TRANSF CARLOS 30/01</t>
        </is>
      </c>
      <c r="C96" s="22" t="n">
        <v>-400</v>
      </c>
      <c r="D96" s="21" t="inlineStr">
        <is>
          <t>saída</t>
        </is>
      </c>
      <c r="E96" s="21" t="inlineStr">
        <is>
          <t>Outros</t>
        </is>
      </c>
      <c r="F96" s="21" t="inlineStr">
        <is>
          <t>2026-01</t>
        </is>
      </c>
      <c r="G96" s="21" t="inlineStr">
        <is>
          <t>Itaú CC</t>
        </is>
      </c>
    </row>
    <row r="97">
      <c r="A97" s="19" t="inlineStr">
        <is>
          <t>2026-01-29</t>
        </is>
      </c>
      <c r="B97" s="19" t="inlineStr">
        <is>
          <t>PAGTO SALARIO</t>
        </is>
      </c>
      <c r="C97" s="20" t="n">
        <v>1442.69</v>
      </c>
      <c r="D97" s="19" t="inlineStr">
        <is>
          <t>entrada</t>
        </is>
      </c>
      <c r="E97" s="19" t="inlineStr">
        <is>
          <t>Salário</t>
        </is>
      </c>
      <c r="F97" s="19" t="inlineStr">
        <is>
          <t>2026-01</t>
        </is>
      </c>
      <c r="G97" s="19" t="inlineStr">
        <is>
          <t>Itaú CC</t>
        </is>
      </c>
    </row>
    <row r="98">
      <c r="A98" s="19" t="inlineStr">
        <is>
          <t>2026-01-29</t>
        </is>
      </c>
      <c r="B98" s="19" t="inlineStr">
        <is>
          <t>PAGTO EM CONTA CORREN</t>
        </is>
      </c>
      <c r="C98" s="20" t="n">
        <v>49990</v>
      </c>
      <c r="D98" s="19" t="inlineStr">
        <is>
          <t>entrada</t>
        </is>
      </c>
      <c r="E98" s="19" t="inlineStr">
        <is>
          <t>Dividendos Nord</t>
        </is>
      </c>
      <c r="F98" s="19" t="inlineStr">
        <is>
          <t>2026-01</t>
        </is>
      </c>
      <c r="G98" s="19" t="inlineStr">
        <is>
          <t>Itaú CC</t>
        </is>
      </c>
    </row>
    <row r="99">
      <c r="A99" s="21" t="inlineStr">
        <is>
          <t>2026-01-29</t>
        </is>
      </c>
      <c r="B99" s="21" t="inlineStr">
        <is>
          <t>PIX QRS LR - PREPAR29/01</t>
        </is>
      </c>
      <c r="C99" s="22" t="n">
        <v>-1150</v>
      </c>
      <c r="D99" s="21" t="inlineStr">
        <is>
          <t>saída</t>
        </is>
      </c>
      <c r="E99" s="21" t="inlineStr">
        <is>
          <t>⚠ LR-PR</t>
        </is>
      </c>
      <c r="F99" s="21" t="inlineStr">
        <is>
          <t>2026-01</t>
        </is>
      </c>
      <c r="G99" s="21" t="inlineStr">
        <is>
          <t>Itaú CC</t>
        </is>
      </c>
    </row>
    <row r="100">
      <c r="A100" s="21" t="inlineStr">
        <is>
          <t>2026-01-29</t>
        </is>
      </c>
      <c r="B100" s="21" t="inlineStr">
        <is>
          <t>PIX TRANSF FERNAND29/01</t>
        </is>
      </c>
      <c r="C100" s="22" t="n">
        <v>-11800</v>
      </c>
      <c r="D100" s="21" t="inlineStr">
        <is>
          <t>saída</t>
        </is>
      </c>
      <c r="E100" s="21" t="inlineStr">
        <is>
          <t>Aluguel</t>
        </is>
      </c>
      <c r="F100" s="21" t="inlineStr">
        <is>
          <t>2026-01</t>
        </is>
      </c>
      <c r="G100" s="21" t="inlineStr">
        <is>
          <t>Itaú CC</t>
        </is>
      </c>
    </row>
    <row r="101">
      <c r="A101" s="21" t="inlineStr">
        <is>
          <t>2026-01-29</t>
        </is>
      </c>
      <c r="B101" s="21" t="inlineStr">
        <is>
          <t>PIX TRANSF GLAUCIA29/01</t>
        </is>
      </c>
      <c r="C101" s="22" t="n">
        <v>-7843</v>
      </c>
      <c r="D101" s="21" t="inlineStr">
        <is>
          <t>saída</t>
        </is>
      </c>
      <c r="E101" s="21" t="inlineStr">
        <is>
          <t>Serviços Domésticos</t>
        </is>
      </c>
      <c r="F101" s="21" t="inlineStr">
        <is>
          <t>2026-01</t>
        </is>
      </c>
      <c r="G101" s="21" t="inlineStr">
        <is>
          <t>Itaú CC</t>
        </is>
      </c>
    </row>
    <row r="102">
      <c r="A102" s="21" t="inlineStr">
        <is>
          <t>2026-01-26</t>
        </is>
      </c>
      <c r="B102" s="21" t="inlineStr">
        <is>
          <t>PIX TRANSF FARMACI26/01</t>
        </is>
      </c>
      <c r="C102" s="22" t="n">
        <v>-446</v>
      </c>
      <c r="D102" s="21" t="inlineStr">
        <is>
          <t>saída</t>
        </is>
      </c>
      <c r="E102" s="21" t="inlineStr">
        <is>
          <t>Saúde/Farmácia</t>
        </is>
      </c>
      <c r="F102" s="21" t="inlineStr">
        <is>
          <t>2026-01</t>
        </is>
      </c>
      <c r="G102" s="21" t="inlineStr">
        <is>
          <t>Itaú CC</t>
        </is>
      </c>
    </row>
    <row r="103">
      <c r="A103" s="21" t="inlineStr">
        <is>
          <t>2026-01-20</t>
        </is>
      </c>
      <c r="B103" s="21" t="inlineStr">
        <is>
          <t>PIX TRANSF CALACAT20/01</t>
        </is>
      </c>
      <c r="C103" s="22" t="n">
        <v>-58058.6</v>
      </c>
      <c r="D103" s="21" t="inlineStr">
        <is>
          <t>saída</t>
        </is>
      </c>
      <c r="E103" s="21" t="inlineStr">
        <is>
          <t>Obra/Reforma</t>
        </is>
      </c>
      <c r="F103" s="21" t="inlineStr">
        <is>
          <t>2026-01</t>
        </is>
      </c>
      <c r="G103" s="21" t="inlineStr">
        <is>
          <t>Itaú CC</t>
        </is>
      </c>
    </row>
    <row r="104">
      <c r="A104" s="19" t="inlineStr">
        <is>
          <t>2026-01-20</t>
        </is>
      </c>
      <c r="B104" s="19" t="inlineStr">
        <is>
          <t>RESGATE CDB DI</t>
        </is>
      </c>
      <c r="C104" s="20" t="n">
        <v>58000.24</v>
      </c>
      <c r="D104" s="19" t="inlineStr">
        <is>
          <t>entrada</t>
        </is>
      </c>
      <c r="E104" s="19" t="inlineStr">
        <is>
          <t>Resgate CDB</t>
        </is>
      </c>
      <c r="F104" s="19" t="inlineStr">
        <is>
          <t>2026-01</t>
        </is>
      </c>
      <c r="G104" s="19" t="inlineStr">
        <is>
          <t>Itaú CC</t>
        </is>
      </c>
    </row>
    <row r="105">
      <c r="A105" s="21" t="inlineStr">
        <is>
          <t>2026-01-19</t>
        </is>
      </c>
      <c r="B105" s="21" t="inlineStr">
        <is>
          <t>PIX WHATS QRCODE 1900 JARDIN17/01</t>
        </is>
      </c>
      <c r="C105" s="22" t="n">
        <v>-150.5</v>
      </c>
      <c r="D105" s="21" t="inlineStr">
        <is>
          <t>saída</t>
        </is>
      </c>
      <c r="E105" s="21" t="inlineStr">
        <is>
          <t>Restaurante</t>
        </is>
      </c>
      <c r="F105" s="21" t="inlineStr">
        <is>
          <t>2026-01</t>
        </is>
      </c>
      <c r="G105" s="21" t="inlineStr">
        <is>
          <t>Itaú CC</t>
        </is>
      </c>
    </row>
    <row r="106">
      <c r="A106" s="21" t="inlineStr">
        <is>
          <t>2026-01-19</t>
        </is>
      </c>
      <c r="B106" s="21" t="inlineStr">
        <is>
          <t>PIX QRS SHOPPER18/01</t>
        </is>
      </c>
      <c r="C106" s="22" t="n">
        <v>-371.31</v>
      </c>
      <c r="D106" s="21" t="inlineStr">
        <is>
          <t>saída</t>
        </is>
      </c>
      <c r="E106" s="21" t="inlineStr">
        <is>
          <t>Alimentação</t>
        </is>
      </c>
      <c r="F106" s="21" t="inlineStr">
        <is>
          <t>2026-01</t>
        </is>
      </c>
      <c r="G106" s="21" t="inlineStr">
        <is>
          <t>Itaú CC</t>
        </is>
      </c>
    </row>
    <row r="107">
      <c r="A107" s="21" t="inlineStr">
        <is>
          <t>2026-01-19</t>
        </is>
      </c>
      <c r="B107" s="21" t="inlineStr">
        <is>
          <t>PIX QRS POSTO DE SE18/01</t>
        </is>
      </c>
      <c r="C107" s="22" t="n">
        <v>-343.27</v>
      </c>
      <c r="D107" s="21" t="inlineStr">
        <is>
          <t>saída</t>
        </is>
      </c>
      <c r="E107" s="21" t="inlineStr">
        <is>
          <t>Combustível</t>
        </is>
      </c>
      <c r="F107" s="21" t="inlineStr">
        <is>
          <t>2026-01</t>
        </is>
      </c>
      <c r="G107" s="21" t="inlineStr">
        <is>
          <t>Itaú CC</t>
        </is>
      </c>
    </row>
    <row r="108">
      <c r="A108" s="21" t="inlineStr">
        <is>
          <t>2026-01-19</t>
        </is>
      </c>
      <c r="B108" s="21" t="inlineStr">
        <is>
          <t>PIX QRS SHOPPER19/01</t>
        </is>
      </c>
      <c r="C108" s="22" t="n">
        <v>-218.85</v>
      </c>
      <c r="D108" s="21" t="inlineStr">
        <is>
          <t>saída</t>
        </is>
      </c>
      <c r="E108" s="21" t="inlineStr">
        <is>
          <t>Alimentação</t>
        </is>
      </c>
      <c r="F108" s="21" t="inlineStr">
        <is>
          <t>2026-01</t>
        </is>
      </c>
      <c r="G108" s="21" t="inlineStr">
        <is>
          <t>Itaú CC</t>
        </is>
      </c>
    </row>
    <row r="109">
      <c r="A109" s="21" t="inlineStr">
        <is>
          <t>2026-01-19</t>
        </is>
      </c>
      <c r="B109" s="21" t="inlineStr">
        <is>
          <t>PAG BOLETO XP VIDA E PREVIDENCIA S.A.</t>
        </is>
      </c>
      <c r="C109" s="22" t="n">
        <v>-10000</v>
      </c>
      <c r="D109" s="21" t="inlineStr">
        <is>
          <t>saída</t>
        </is>
      </c>
      <c r="E109" s="21" t="inlineStr">
        <is>
          <t>Previdência</t>
        </is>
      </c>
      <c r="F109" s="21" t="inlineStr">
        <is>
          <t>2026-01</t>
        </is>
      </c>
      <c r="G109" s="21" t="inlineStr">
        <is>
          <t>Itaú CC</t>
        </is>
      </c>
    </row>
    <row r="110">
      <c r="A110" s="21" t="inlineStr">
        <is>
          <t>2026-01-19</t>
        </is>
      </c>
      <c r="B110" s="21" t="inlineStr">
        <is>
          <t>PERS BLACK 3609-3051</t>
        </is>
      </c>
      <c r="C110" s="22" t="n">
        <v>-3389.13</v>
      </c>
      <c r="D110" s="21" t="inlineStr">
        <is>
          <t>saída</t>
        </is>
      </c>
      <c r="E110" s="21" t="inlineStr">
        <is>
          <t>Fatura Cartão Itaú</t>
        </is>
      </c>
      <c r="F110" s="21" t="inlineStr">
        <is>
          <t>2026-01</t>
        </is>
      </c>
      <c r="G110" s="21" t="inlineStr">
        <is>
          <t>Itaú CC</t>
        </is>
      </c>
    </row>
    <row r="111">
      <c r="A111" s="21" t="inlineStr">
        <is>
          <t>2026-01-16</t>
        </is>
      </c>
      <c r="B111" s="21" t="inlineStr">
        <is>
          <t>PIX TRANSF LUSOVIN16/01</t>
        </is>
      </c>
      <c r="C111" s="22" t="n">
        <v>-5302.95</v>
      </c>
      <c r="D111" s="21" t="inlineStr">
        <is>
          <t>saída</t>
        </is>
      </c>
      <c r="E111" s="21" t="inlineStr">
        <is>
          <t>Vinho</t>
        </is>
      </c>
      <c r="F111" s="21" t="inlineStr">
        <is>
          <t>2026-01</t>
        </is>
      </c>
      <c r="G111" s="21" t="inlineStr">
        <is>
          <t>Itaú CC</t>
        </is>
      </c>
    </row>
    <row r="112">
      <c r="A112" s="21" t="inlineStr">
        <is>
          <t>2026-01-14</t>
        </is>
      </c>
      <c r="B112" s="21" t="inlineStr">
        <is>
          <t>PIX TRANSF JOELMA 14/01</t>
        </is>
      </c>
      <c r="C112" s="22" t="n">
        <v>-920</v>
      </c>
      <c r="D112" s="21" t="inlineStr">
        <is>
          <t>saída</t>
        </is>
      </c>
      <c r="E112" s="21" t="inlineStr">
        <is>
          <t>Outros</t>
        </is>
      </c>
      <c r="F112" s="21" t="inlineStr">
        <is>
          <t>2026-01</t>
        </is>
      </c>
      <c r="G112" s="21" t="inlineStr">
        <is>
          <t>Itaú CC</t>
        </is>
      </c>
    </row>
    <row r="113">
      <c r="A113" s="21" t="inlineStr">
        <is>
          <t>2026-01-13</t>
        </is>
      </c>
      <c r="B113" s="21" t="inlineStr">
        <is>
          <t>PAGTO IPVA parcela 1 de 5</t>
        </is>
      </c>
      <c r="C113" s="22" t="n">
        <v>-1159.99</v>
      </c>
      <c r="D113" s="21" t="inlineStr">
        <is>
          <t>saída</t>
        </is>
      </c>
      <c r="E113" s="21" t="inlineStr">
        <is>
          <t>IPVA/Licenciamento</t>
        </is>
      </c>
      <c r="F113" s="21" t="inlineStr">
        <is>
          <t>2026-01</t>
        </is>
      </c>
      <c r="G113" s="21" t="inlineStr">
        <is>
          <t>Itaú CC</t>
        </is>
      </c>
    </row>
    <row r="114">
      <c r="A114" s="19" t="inlineStr">
        <is>
          <t>2026-01-12</t>
        </is>
      </c>
      <c r="B114" s="19" t="inlineStr">
        <is>
          <t>RESGATE CDB DI</t>
        </is>
      </c>
      <c r="C114" s="20" t="n">
        <v>265001</v>
      </c>
      <c r="D114" s="19" t="inlineStr">
        <is>
          <t>entrada</t>
        </is>
      </c>
      <c r="E114" s="19" t="inlineStr">
        <is>
          <t>Resgate CDB</t>
        </is>
      </c>
      <c r="F114" s="19" t="inlineStr">
        <is>
          <t>2026-01</t>
        </is>
      </c>
      <c r="G114" s="19" t="inlineStr">
        <is>
          <t>Itaú CC</t>
        </is>
      </c>
    </row>
    <row r="115">
      <c r="A115" s="21" t="inlineStr">
        <is>
          <t>2026-01-12</t>
        </is>
      </c>
      <c r="B115" s="21" t="inlineStr">
        <is>
          <t>PIX TRANSF RICARDO12/01</t>
        </is>
      </c>
      <c r="C115" s="22" t="n">
        <v>-265333.73</v>
      </c>
      <c r="D115" s="21" t="inlineStr">
        <is>
          <t>saída</t>
        </is>
      </c>
      <c r="E115" s="21" t="inlineStr">
        <is>
          <t>Outros</t>
        </is>
      </c>
      <c r="F115" s="21" t="inlineStr">
        <is>
          <t>2026-01</t>
        </is>
      </c>
      <c r="G115" s="21" t="inlineStr">
        <is>
          <t>Itaú CC</t>
        </is>
      </c>
    </row>
    <row r="116">
      <c r="A116" s="21" t="inlineStr">
        <is>
          <t>2026-01-12</t>
        </is>
      </c>
      <c r="B116" s="21" t="inlineStr">
        <is>
          <t>PAG TIT INT 237</t>
        </is>
      </c>
      <c r="C116" s="22" t="n">
        <v>-632</v>
      </c>
      <c r="D116" s="21" t="inlineStr">
        <is>
          <t>saída</t>
        </is>
      </c>
      <c r="E116" s="21" t="inlineStr">
        <is>
          <t>Fatura Cartão</t>
        </is>
      </c>
      <c r="F116" s="21" t="inlineStr">
        <is>
          <t>2026-01</t>
        </is>
      </c>
      <c r="G116" s="21" t="inlineStr">
        <is>
          <t>Itaú CC</t>
        </is>
      </c>
    </row>
    <row r="117">
      <c r="A117" s="21" t="inlineStr">
        <is>
          <t>2026-01-12</t>
        </is>
      </c>
      <c r="B117" s="21" t="inlineStr">
        <is>
          <t>PIX TRANSF Lucas M12/01</t>
        </is>
      </c>
      <c r="C117" s="22" t="n">
        <v>-250</v>
      </c>
      <c r="D117" s="21" t="inlineStr">
        <is>
          <t>saída</t>
        </is>
      </c>
      <c r="E117" s="21" t="inlineStr">
        <is>
          <t>Outros</t>
        </is>
      </c>
      <c r="F117" s="21" t="inlineStr">
        <is>
          <t>2026-01</t>
        </is>
      </c>
      <c r="G117" s="21" t="inlineStr">
        <is>
          <t>Itaú CC</t>
        </is>
      </c>
    </row>
    <row r="118">
      <c r="A118" s="21" t="inlineStr">
        <is>
          <t>2026-01-12</t>
        </is>
      </c>
      <c r="B118" s="21" t="inlineStr">
        <is>
          <t>PIX QRS RIOS PHARMA12/01</t>
        </is>
      </c>
      <c r="C118" s="22" t="n">
        <v>-259</v>
      </c>
      <c r="D118" s="21" t="inlineStr">
        <is>
          <t>saída</t>
        </is>
      </c>
      <c r="E118" s="21" t="inlineStr">
        <is>
          <t>Saúde/Farmácia</t>
        </is>
      </c>
      <c r="F118" s="21" t="inlineStr">
        <is>
          <t>2026-01</t>
        </is>
      </c>
      <c r="G118" s="21" t="inlineStr">
        <is>
          <t>Itaú CC</t>
        </is>
      </c>
    </row>
    <row r="119">
      <c r="A119" s="21" t="inlineStr">
        <is>
          <t>2026-01-12</t>
        </is>
      </c>
      <c r="B119" s="21" t="inlineStr">
        <is>
          <t>DA CLARO BL/IT 53719250</t>
        </is>
      </c>
      <c r="C119" s="22" t="n">
        <v>-301.49</v>
      </c>
      <c r="D119" s="21" t="inlineStr">
        <is>
          <t>saída</t>
        </is>
      </c>
      <c r="E119" s="21" t="inlineStr">
        <is>
          <t>Telecomunicações</t>
        </is>
      </c>
      <c r="F119" s="21" t="inlineStr">
        <is>
          <t>2026-01</t>
        </is>
      </c>
      <c r="G119" s="21" t="inlineStr">
        <is>
          <t>Itaú CC</t>
        </is>
      </c>
    </row>
    <row r="120">
      <c r="A120" s="21" t="inlineStr">
        <is>
          <t>2026-01-12</t>
        </is>
      </c>
      <c r="B120" s="21" t="inlineStr">
        <is>
          <t>DA VIVO-SP 11192739056</t>
        </is>
      </c>
      <c r="C120" s="22" t="n">
        <v>-295.99</v>
      </c>
      <c r="D120" s="21" t="inlineStr">
        <is>
          <t>saída</t>
        </is>
      </c>
      <c r="E120" s="21" t="inlineStr">
        <is>
          <t>Telecomunicações</t>
        </is>
      </c>
      <c r="F120" s="21" t="inlineStr">
        <is>
          <t>2026-01</t>
        </is>
      </c>
      <c r="G120" s="21" t="inlineStr">
        <is>
          <t>Itaú CC</t>
        </is>
      </c>
    </row>
    <row r="121">
      <c r="A121" s="21" t="inlineStr">
        <is>
          <t>2026-01-08</t>
        </is>
      </c>
      <c r="B121" s="21" t="inlineStr">
        <is>
          <t>PAG TIT INT 237</t>
        </is>
      </c>
      <c r="C121" s="22" t="n">
        <v>-1321.92</v>
      </c>
      <c r="D121" s="21" t="inlineStr">
        <is>
          <t>saída</t>
        </is>
      </c>
      <c r="E121" s="21" t="inlineStr">
        <is>
          <t>Fatura Cartão</t>
        </is>
      </c>
      <c r="F121" s="21" t="inlineStr">
        <is>
          <t>2026-01</t>
        </is>
      </c>
      <c r="G121" s="21" t="inlineStr">
        <is>
          <t>Itaú CC</t>
        </is>
      </c>
    </row>
    <row r="122">
      <c r="A122" s="21" t="inlineStr">
        <is>
          <t>2026-01-08</t>
        </is>
      </c>
      <c r="B122" s="21" t="inlineStr">
        <is>
          <t>PIX TRANSF Eduardo08/01</t>
        </is>
      </c>
      <c r="C122" s="22" t="n">
        <v>-1080</v>
      </c>
      <c r="D122" s="21" t="inlineStr">
        <is>
          <t>saída</t>
        </is>
      </c>
      <c r="E122" s="21" t="inlineStr">
        <is>
          <t>Outros</t>
        </is>
      </c>
      <c r="F122" s="21" t="inlineStr">
        <is>
          <t>2026-01</t>
        </is>
      </c>
      <c r="G122" s="21" t="inlineStr">
        <is>
          <t>Itaú CC</t>
        </is>
      </c>
    </row>
    <row r="123">
      <c r="A123" s="21" t="inlineStr">
        <is>
          <t>2026-01-05</t>
        </is>
      </c>
      <c r="B123" s="21" t="inlineStr">
        <is>
          <t>PIX TRANSF AILTON 03/01</t>
        </is>
      </c>
      <c r="C123" s="22" t="n">
        <v>-160</v>
      </c>
      <c r="D123" s="21" t="inlineStr">
        <is>
          <t>saída</t>
        </is>
      </c>
      <c r="E123" s="21" t="inlineStr">
        <is>
          <t>Transporte/Táxi</t>
        </is>
      </c>
      <c r="F123" s="21" t="inlineStr">
        <is>
          <t>2026-01</t>
        </is>
      </c>
      <c r="G123" s="21" t="inlineStr">
        <is>
          <t>Itaú CC</t>
        </is>
      </c>
    </row>
    <row r="124">
      <c r="A124" s="21" t="inlineStr">
        <is>
          <t>2026-01-05</t>
        </is>
      </c>
      <c r="B124" s="21" t="inlineStr">
        <is>
          <t>PIX TRANSF Lemos D03/01</t>
        </is>
      </c>
      <c r="C124" s="22" t="n">
        <v>-60</v>
      </c>
      <c r="D124" s="21" t="inlineStr">
        <is>
          <t>saída</t>
        </is>
      </c>
      <c r="E124" s="21" t="inlineStr">
        <is>
          <t>Outros</t>
        </is>
      </c>
      <c r="F124" s="21" t="inlineStr">
        <is>
          <t>2026-01</t>
        </is>
      </c>
      <c r="G124" s="21" t="inlineStr">
        <is>
          <t>Itaú CC</t>
        </is>
      </c>
    </row>
    <row r="125">
      <c r="A125" s="21" t="inlineStr">
        <is>
          <t>2026-01-02</t>
        </is>
      </c>
      <c r="B125" s="21" t="inlineStr">
        <is>
          <t>PIX TRANSF PAULO D01/01</t>
        </is>
      </c>
      <c r="C125" s="22" t="n">
        <v>-100</v>
      </c>
      <c r="D125" s="21" t="inlineStr">
        <is>
          <t>saída</t>
        </is>
      </c>
      <c r="E125" s="21" t="inlineStr">
        <is>
          <t>Outros</t>
        </is>
      </c>
      <c r="F125" s="21" t="inlineStr">
        <is>
          <t>2026-01</t>
        </is>
      </c>
      <c r="G125" s="21" t="inlineStr">
        <is>
          <t>Itaú CC</t>
        </is>
      </c>
    </row>
    <row r="126">
      <c r="A126" s="21" t="inlineStr">
        <is>
          <t>2025-12-31</t>
        </is>
      </c>
      <c r="B126" s="21" t="inlineStr">
        <is>
          <t>PIX TRANSF DMW CON31/12</t>
        </is>
      </c>
      <c r="C126" s="22" t="n">
        <v>-405</v>
      </c>
      <c r="D126" s="21" t="inlineStr">
        <is>
          <t>saída</t>
        </is>
      </c>
      <c r="E126" s="21" t="inlineStr">
        <is>
          <t>Contabilidade</t>
        </is>
      </c>
      <c r="F126" s="21" t="inlineStr">
        <is>
          <t>2025-12</t>
        </is>
      </c>
      <c r="G126" s="21" t="inlineStr">
        <is>
          <t>Itaú CC</t>
        </is>
      </c>
    </row>
    <row r="127">
      <c r="A127" s="21" t="inlineStr">
        <is>
          <t>2025-12-31</t>
        </is>
      </c>
      <c r="B127" s="21" t="inlineStr">
        <is>
          <t>PIX TRANSF CARLOS 31/12</t>
        </is>
      </c>
      <c r="C127" s="22" t="n">
        <v>-70</v>
      </c>
      <c r="D127" s="21" t="inlineStr">
        <is>
          <t>saída</t>
        </is>
      </c>
      <c r="E127" s="21" t="inlineStr">
        <is>
          <t>Outros</t>
        </is>
      </c>
      <c r="F127" s="21" t="inlineStr">
        <is>
          <t>2025-12</t>
        </is>
      </c>
      <c r="G127" s="21" t="inlineStr">
        <is>
          <t>Itaú CC</t>
        </is>
      </c>
    </row>
    <row r="128">
      <c r="A128" s="21" t="inlineStr">
        <is>
          <t>2025-12-30</t>
        </is>
      </c>
      <c r="B128" s="21" t="inlineStr">
        <is>
          <t>APLICACAO CDB DI</t>
        </is>
      </c>
      <c r="C128" s="22" t="n">
        <v>-430000</v>
      </c>
      <c r="D128" s="21" t="inlineStr">
        <is>
          <t>saída</t>
        </is>
      </c>
      <c r="E128" s="21" t="inlineStr">
        <is>
          <t>Aplicação CDB</t>
        </is>
      </c>
      <c r="F128" s="21" t="inlineStr">
        <is>
          <t>2025-12</t>
        </is>
      </c>
      <c r="G128" s="21" t="inlineStr">
        <is>
          <t>Itaú CC</t>
        </is>
      </c>
    </row>
    <row r="129">
      <c r="A129" s="21" t="inlineStr">
        <is>
          <t>2025-12-29</t>
        </is>
      </c>
      <c r="B129" s="21" t="inlineStr">
        <is>
          <t>PIX TRANSF FERNAND29/12</t>
        </is>
      </c>
      <c r="C129" s="22" t="n">
        <v>-11800</v>
      </c>
      <c r="D129" s="21" t="inlineStr">
        <is>
          <t>saída</t>
        </is>
      </c>
      <c r="E129" s="21" t="inlineStr">
        <is>
          <t>Aluguel</t>
        </is>
      </c>
      <c r="F129" s="21" t="inlineStr">
        <is>
          <t>2025-12</t>
        </is>
      </c>
      <c r="G129" s="21" t="inlineStr">
        <is>
          <t>Itaú CC</t>
        </is>
      </c>
    </row>
    <row r="130">
      <c r="A130" s="21" t="inlineStr">
        <is>
          <t>2025-12-29</t>
        </is>
      </c>
      <c r="B130" s="21" t="inlineStr">
        <is>
          <t>PIX TRANSF RENATO 29/12</t>
        </is>
      </c>
      <c r="C130" s="22" t="n">
        <v>-38000</v>
      </c>
      <c r="D130" s="21" t="inlineStr">
        <is>
          <t>saída</t>
        </is>
      </c>
      <c r="E130" s="21" t="inlineStr">
        <is>
          <t>Transferência Própria</t>
        </is>
      </c>
      <c r="F130" s="21" t="inlineStr">
        <is>
          <t>2025-12</t>
        </is>
      </c>
      <c r="G130" s="21" t="inlineStr">
        <is>
          <t>Itaú CC</t>
        </is>
      </c>
    </row>
    <row r="131">
      <c r="A131" s="19" t="inlineStr">
        <is>
          <t>2025-12-29</t>
        </is>
      </c>
      <c r="B131" s="19" t="inlineStr">
        <is>
          <t>PAGTO SALARIO</t>
        </is>
      </c>
      <c r="C131" s="20" t="n">
        <v>1351.02</v>
      </c>
      <c r="D131" s="19" t="inlineStr">
        <is>
          <t>entrada</t>
        </is>
      </c>
      <c r="E131" s="19" t="inlineStr">
        <is>
          <t>Salário</t>
        </is>
      </c>
      <c r="F131" s="19" t="inlineStr">
        <is>
          <t>2025-12</t>
        </is>
      </c>
      <c r="G131" s="19" t="inlineStr">
        <is>
          <t>Itaú CC</t>
        </is>
      </c>
    </row>
    <row r="132">
      <c r="A132" s="19" t="inlineStr">
        <is>
          <t>2025-12-29</t>
        </is>
      </c>
      <c r="B132" s="19" t="inlineStr">
        <is>
          <t>PAGTO EM CONTA CORREN</t>
        </is>
      </c>
      <c r="C132" s="20" t="n">
        <v>51993.86</v>
      </c>
      <c r="D132" s="19" t="inlineStr">
        <is>
          <t>entrada</t>
        </is>
      </c>
      <c r="E132" s="19" t="inlineStr">
        <is>
          <t>Dividendos Nord</t>
        </is>
      </c>
      <c r="F132" s="19" t="inlineStr">
        <is>
          <t>2025-12</t>
        </is>
      </c>
      <c r="G132" s="19" t="inlineStr">
        <is>
          <t>Itaú CC</t>
        </is>
      </c>
    </row>
    <row r="133">
      <c r="A133" s="21" t="inlineStr">
        <is>
          <t>2025-12-29</t>
        </is>
      </c>
      <c r="B133" s="21" t="inlineStr">
        <is>
          <t>PAG Licenciamento de Veículo</t>
        </is>
      </c>
      <c r="C133" s="22" t="n">
        <v>-202.73</v>
      </c>
      <c r="D133" s="21" t="inlineStr">
        <is>
          <t>saída</t>
        </is>
      </c>
      <c r="E133" s="21" t="inlineStr">
        <is>
          <t>IPVA/Licenciamento</t>
        </is>
      </c>
      <c r="F133" s="21" t="inlineStr">
        <is>
          <t>2025-12</t>
        </is>
      </c>
      <c r="G133" s="21" t="inlineStr">
        <is>
          <t>Itaú CC</t>
        </is>
      </c>
    </row>
    <row r="134">
      <c r="A134" s="21" t="inlineStr">
        <is>
          <t>2025-12-29</t>
        </is>
      </c>
      <c r="B134" s="21" t="inlineStr">
        <is>
          <t>PIX TRANSF AILTON 27/12</t>
        </is>
      </c>
      <c r="C134" s="22" t="n">
        <v>-160</v>
      </c>
      <c r="D134" s="21" t="inlineStr">
        <is>
          <t>saída</t>
        </is>
      </c>
      <c r="E134" s="21" t="inlineStr">
        <is>
          <t>Transporte/Táxi</t>
        </is>
      </c>
      <c r="F134" s="21" t="inlineStr">
        <is>
          <t>2025-12</t>
        </is>
      </c>
      <c r="G134" s="21" t="inlineStr">
        <is>
          <t>Itaú CC</t>
        </is>
      </c>
    </row>
    <row r="135">
      <c r="A135" s="19" t="inlineStr">
        <is>
          <t>2025-12-26</t>
        </is>
      </c>
      <c r="B135" s="19" t="inlineStr">
        <is>
          <t>PAGTO EM CONTA CORREN</t>
        </is>
      </c>
      <c r="C135" s="20" t="n">
        <v>220000</v>
      </c>
      <c r="D135" s="19" t="inlineStr">
        <is>
          <t>entrada</t>
        </is>
      </c>
      <c r="E135" s="19" t="inlineStr">
        <is>
          <t>Dividendos Nord</t>
        </is>
      </c>
      <c r="F135" s="19" t="inlineStr">
        <is>
          <t>2025-12</t>
        </is>
      </c>
      <c r="G135" s="19" t="inlineStr">
        <is>
          <t>Itaú CC</t>
        </is>
      </c>
    </row>
    <row r="136">
      <c r="A136" s="19" t="inlineStr">
        <is>
          <t>2025-12-26</t>
        </is>
      </c>
      <c r="B136" s="19" t="inlineStr">
        <is>
          <t>PIX TRANSF MARINA 25/12</t>
        </is>
      </c>
      <c r="C136" s="20" t="n">
        <v>500</v>
      </c>
      <c r="D136" s="19" t="inlineStr">
        <is>
          <t>entrada</t>
        </is>
      </c>
      <c r="E136" s="19" t="inlineStr">
        <is>
          <t>Outros</t>
        </is>
      </c>
      <c r="F136" s="19" t="inlineStr">
        <is>
          <t>2025-12</t>
        </is>
      </c>
      <c r="G136" s="19" t="inlineStr">
        <is>
          <t>Itaú CC</t>
        </is>
      </c>
    </row>
    <row r="137">
      <c r="A137" s="21" t="inlineStr">
        <is>
          <t>2025-12-26</t>
        </is>
      </c>
      <c r="B137" s="21" t="inlineStr">
        <is>
          <t>PIX TRANSF FERNAND26/12</t>
        </is>
      </c>
      <c r="C137" s="22" t="n">
        <v>-500</v>
      </c>
      <c r="D137" s="21" t="inlineStr">
        <is>
          <t>saída</t>
        </is>
      </c>
      <c r="E137" s="21" t="inlineStr">
        <is>
          <t>Aluguel</t>
        </is>
      </c>
      <c r="F137" s="21" t="inlineStr">
        <is>
          <t>2025-12</t>
        </is>
      </c>
      <c r="G137" s="21" t="inlineStr">
        <is>
          <t>Itaú CC</t>
        </is>
      </c>
    </row>
    <row r="138">
      <c r="A138" s="19" t="inlineStr">
        <is>
          <t>2025-12-26</t>
        </is>
      </c>
      <c r="B138" s="19" t="inlineStr">
        <is>
          <t>TBI 3747.27243-7Nord</t>
        </is>
      </c>
      <c r="C138" s="20" t="n">
        <v>2634.05</v>
      </c>
      <c r="D138" s="19" t="inlineStr">
        <is>
          <t>entrada</t>
        </is>
      </c>
      <c r="E138" s="19" t="inlineStr">
        <is>
          <t>Dividendos Nord</t>
        </is>
      </c>
      <c r="F138" s="19" t="inlineStr">
        <is>
          <t>2025-12</t>
        </is>
      </c>
      <c r="G138" s="19" t="inlineStr">
        <is>
          <t>Itaú CC</t>
        </is>
      </c>
    </row>
    <row r="139">
      <c r="A139" s="21" t="inlineStr">
        <is>
          <t>2025-12-26</t>
        </is>
      </c>
      <c r="B139" s="21" t="inlineStr">
        <is>
          <t>PIX TRANSF RENATO 26/12</t>
        </is>
      </c>
      <c r="C139" s="22" t="n">
        <v>-500000</v>
      </c>
      <c r="D139" s="21" t="inlineStr">
        <is>
          <t>saída</t>
        </is>
      </c>
      <c r="E139" s="21" t="inlineStr">
        <is>
          <t>Transferência Própria</t>
        </is>
      </c>
      <c r="F139" s="21" t="inlineStr">
        <is>
          <t>2025-12</t>
        </is>
      </c>
      <c r="G139" s="21" t="inlineStr">
        <is>
          <t>Itaú CC</t>
        </is>
      </c>
    </row>
    <row r="140">
      <c r="A140" s="21" t="inlineStr">
        <is>
          <t>2025-12-26</t>
        </is>
      </c>
      <c r="B140" s="21" t="inlineStr">
        <is>
          <t>PIX TRANSF CALACAT26/12</t>
        </is>
      </c>
      <c r="C140" s="22" t="n">
        <v>-58058.6</v>
      </c>
      <c r="D140" s="21" t="inlineStr">
        <is>
          <t>saída</t>
        </is>
      </c>
      <c r="E140" s="21" t="inlineStr">
        <is>
          <t>Obra/Reforma</t>
        </is>
      </c>
      <c r="F140" s="21" t="inlineStr">
        <is>
          <t>2025-12</t>
        </is>
      </c>
      <c r="G140" s="21" t="inlineStr">
        <is>
          <t>Itaú CC</t>
        </is>
      </c>
    </row>
    <row r="141">
      <c r="A141" s="21" t="inlineStr">
        <is>
          <t>2025-12-24</t>
        </is>
      </c>
      <c r="B141" s="21" t="inlineStr">
        <is>
          <t>PIX TRANSF CADU GO24/12</t>
        </is>
      </c>
      <c r="C141" s="22" t="n">
        <v>-1000</v>
      </c>
      <c r="D141" s="21" t="inlineStr">
        <is>
          <t>saída</t>
        </is>
      </c>
      <c r="E141" s="21" t="inlineStr">
        <is>
          <t>Outros</t>
        </is>
      </c>
      <c r="F141" s="21" t="inlineStr">
        <is>
          <t>2025-12</t>
        </is>
      </c>
      <c r="G141" s="21" t="inlineStr">
        <is>
          <t>Itaú CC</t>
        </is>
      </c>
    </row>
    <row r="142">
      <c r="A142" s="19" t="inlineStr">
        <is>
          <t>2025-12-23</t>
        </is>
      </c>
      <c r="B142" s="19" t="inlineStr">
        <is>
          <t>PAGTO EM CONTA CORREN</t>
        </is>
      </c>
      <c r="C142" s="20" t="n">
        <v>1309927.27</v>
      </c>
      <c r="D142" s="19" t="inlineStr">
        <is>
          <t>entrada</t>
        </is>
      </c>
      <c r="E142" s="19" t="inlineStr">
        <is>
          <t>Dividendo Semestral Nord</t>
        </is>
      </c>
      <c r="F142" s="19" t="inlineStr">
        <is>
          <t>2025-12</t>
        </is>
      </c>
      <c r="G142" s="19" t="inlineStr">
        <is>
          <t>Itaú CC</t>
        </is>
      </c>
    </row>
    <row r="143">
      <c r="A143" s="21" t="inlineStr">
        <is>
          <t>2025-12-23</t>
        </is>
      </c>
      <c r="B143" s="21" t="inlineStr">
        <is>
          <t>PIX TRANSF Carla C23/12</t>
        </is>
      </c>
      <c r="C143" s="22" t="n">
        <v>-350</v>
      </c>
      <c r="D143" s="21" t="inlineStr">
        <is>
          <t>saída</t>
        </is>
      </c>
      <c r="E143" s="21" t="inlineStr">
        <is>
          <t>Outros</t>
        </is>
      </c>
      <c r="F143" s="21" t="inlineStr">
        <is>
          <t>2025-12</t>
        </is>
      </c>
      <c r="G143" s="21" t="inlineStr">
        <is>
          <t>Itaú CC</t>
        </is>
      </c>
    </row>
    <row r="144">
      <c r="A144" s="19" t="inlineStr">
        <is>
          <t>2025-12-23</t>
        </is>
      </c>
      <c r="B144" s="19" t="inlineStr">
        <is>
          <t>PIX TRANSF Ronaldo23/12</t>
        </is>
      </c>
      <c r="C144" s="20" t="n">
        <v>31054.13</v>
      </c>
      <c r="D144" s="19" t="inlineStr">
        <is>
          <t>entrada</t>
        </is>
      </c>
      <c r="E144" s="19" t="inlineStr">
        <is>
          <t>Outros</t>
        </is>
      </c>
      <c r="F144" s="19" t="inlineStr">
        <is>
          <t>2025-12</t>
        </is>
      </c>
      <c r="G144" s="19" t="inlineStr">
        <is>
          <t>Itaú CC</t>
        </is>
      </c>
    </row>
    <row r="145">
      <c r="A145" s="21" t="inlineStr">
        <is>
          <t>2025-12-23</t>
        </is>
      </c>
      <c r="B145" s="21" t="inlineStr">
        <is>
          <t>PIX TRANSF SMIL SE23/12</t>
        </is>
      </c>
      <c r="C145" s="22" t="n">
        <v>-10</v>
      </c>
      <c r="D145" s="21" t="inlineStr">
        <is>
          <t>saída</t>
        </is>
      </c>
      <c r="E145" s="21" t="inlineStr">
        <is>
          <t>Outros</t>
        </is>
      </c>
      <c r="F145" s="21" t="inlineStr">
        <is>
          <t>2025-12</t>
        </is>
      </c>
      <c r="G145" s="21" t="inlineStr">
        <is>
          <t>Itaú CC</t>
        </is>
      </c>
    </row>
    <row r="146">
      <c r="A146" s="21" t="inlineStr">
        <is>
          <t>2025-12-23</t>
        </is>
      </c>
      <c r="B146" s="21" t="inlineStr">
        <is>
          <t>PIX QRS LUCAS REZEN23/12</t>
        </is>
      </c>
      <c r="C146" s="22" t="n">
        <v>-1420</v>
      </c>
      <c r="D146" s="21" t="inlineStr">
        <is>
          <t>saída</t>
        </is>
      </c>
      <c r="E146" s="21" t="inlineStr">
        <is>
          <t>Personal Trainer</t>
        </is>
      </c>
      <c r="F146" s="21" t="inlineStr">
        <is>
          <t>2025-12</t>
        </is>
      </c>
      <c r="G146" s="21" t="inlineStr">
        <is>
          <t>Itaú CC</t>
        </is>
      </c>
    </row>
    <row r="147">
      <c r="A147" s="19" t="inlineStr">
        <is>
          <t>2025-12-23</t>
        </is>
      </c>
      <c r="B147" s="19" t="inlineStr">
        <is>
          <t>PIX TRANSF CAIO ZY23/12</t>
        </is>
      </c>
      <c r="C147" s="20" t="n">
        <v>50000</v>
      </c>
      <c r="D147" s="19" t="inlineStr">
        <is>
          <t>entrada</t>
        </is>
      </c>
      <c r="E147" s="19" t="inlineStr">
        <is>
          <t>Outros</t>
        </is>
      </c>
      <c r="F147" s="19" t="inlineStr">
        <is>
          <t>2025-12</t>
        </is>
      </c>
      <c r="G147" s="19" t="inlineStr">
        <is>
          <t>Itaú CC</t>
        </is>
      </c>
    </row>
    <row r="148">
      <c r="A148" s="21" t="inlineStr">
        <is>
          <t>2025-12-23</t>
        </is>
      </c>
      <c r="B148" s="21" t="inlineStr">
        <is>
          <t>PIX TRANSF RENATO 23/12</t>
        </is>
      </c>
      <c r="C148" s="22" t="n">
        <v>-300000</v>
      </c>
      <c r="D148" s="21" t="inlineStr">
        <is>
          <t>saída</t>
        </is>
      </c>
      <c r="E148" s="21" t="inlineStr">
        <is>
          <t>Transferência Própria</t>
        </is>
      </c>
      <c r="F148" s="21" t="inlineStr">
        <is>
          <t>2025-12</t>
        </is>
      </c>
      <c r="G148" s="21" t="inlineStr">
        <is>
          <t>Itaú CC</t>
        </is>
      </c>
    </row>
    <row r="149">
      <c r="A149" s="21" t="inlineStr">
        <is>
          <t>2025-12-23</t>
        </is>
      </c>
      <c r="B149" s="21" t="inlineStr">
        <is>
          <t>APLICACAO CDB DI</t>
        </is>
      </c>
      <c r="C149" s="22" t="n">
        <v>-300000</v>
      </c>
      <c r="D149" s="21" t="inlineStr">
        <is>
          <t>saída</t>
        </is>
      </c>
      <c r="E149" s="21" t="inlineStr">
        <is>
          <t>Aplicação CDB</t>
        </is>
      </c>
      <c r="F149" s="21" t="inlineStr">
        <is>
          <t>2025-12</t>
        </is>
      </c>
      <c r="G149" s="21" t="inlineStr">
        <is>
          <t>Itaú CC</t>
        </is>
      </c>
    </row>
    <row r="150">
      <c r="A150" s="21" t="inlineStr">
        <is>
          <t>2025-12-22</t>
        </is>
      </c>
      <c r="B150" s="21" t="inlineStr">
        <is>
          <t>PIX TRANSF HARLEN 22/12</t>
        </is>
      </c>
      <c r="C150" s="22" t="n">
        <v>-57</v>
      </c>
      <c r="D150" s="21" t="inlineStr">
        <is>
          <t>saída</t>
        </is>
      </c>
      <c r="E150" s="21" t="inlineStr">
        <is>
          <t>Outros</t>
        </is>
      </c>
      <c r="F150" s="21" t="inlineStr">
        <is>
          <t>2025-12</t>
        </is>
      </c>
      <c r="G150" s="21" t="inlineStr">
        <is>
          <t>Itaú CC</t>
        </is>
      </c>
    </row>
    <row r="151">
      <c r="A151" s="21" t="inlineStr">
        <is>
          <t>2025-12-22</t>
        </is>
      </c>
      <c r="B151" s="21" t="inlineStr">
        <is>
          <t>PIX QRS Joice Mara 22/12</t>
        </is>
      </c>
      <c r="C151" s="22" t="n">
        <v>-1000</v>
      </c>
      <c r="D151" s="21" t="inlineStr">
        <is>
          <t>saída</t>
        </is>
      </c>
      <c r="E151" s="21" t="inlineStr">
        <is>
          <t>Outros</t>
        </is>
      </c>
      <c r="F151" s="21" t="inlineStr">
        <is>
          <t>2025-12</t>
        </is>
      </c>
      <c r="G151" s="21" t="inlineStr">
        <is>
          <t>Itaú CC</t>
        </is>
      </c>
    </row>
    <row r="152">
      <c r="A152" s="21" t="inlineStr">
        <is>
          <t>2025-12-19</t>
        </is>
      </c>
      <c r="B152" s="21" t="inlineStr">
        <is>
          <t>PIX WHATS Davi Kn19/12</t>
        </is>
      </c>
      <c r="C152" s="22" t="n">
        <v>-50</v>
      </c>
      <c r="D152" s="21" t="inlineStr">
        <is>
          <t>saída</t>
        </is>
      </c>
      <c r="E152" s="21" t="inlineStr">
        <is>
          <t>Outros</t>
        </is>
      </c>
      <c r="F152" s="21" t="inlineStr">
        <is>
          <t>2025-12</t>
        </is>
      </c>
      <c r="G152" s="21" t="inlineStr">
        <is>
          <t>Itaú CC</t>
        </is>
      </c>
    </row>
    <row r="153">
      <c r="A153" s="21" t="inlineStr">
        <is>
          <t>2025-12-19</t>
        </is>
      </c>
      <c r="B153" s="21" t="inlineStr">
        <is>
          <t>PIX TRANSF Carla C19/12</t>
        </is>
      </c>
      <c r="C153" s="22" t="n">
        <v>-350</v>
      </c>
      <c r="D153" s="21" t="inlineStr">
        <is>
          <t>saída</t>
        </is>
      </c>
      <c r="E153" s="21" t="inlineStr">
        <is>
          <t>Outros</t>
        </is>
      </c>
      <c r="F153" s="21" t="inlineStr">
        <is>
          <t>2025-12</t>
        </is>
      </c>
      <c r="G153" s="21" t="inlineStr">
        <is>
          <t>Itaú CC</t>
        </is>
      </c>
    </row>
    <row r="154">
      <c r="A154" s="21" t="inlineStr">
        <is>
          <t>2025-12-17</t>
        </is>
      </c>
      <c r="B154" s="21" t="inlineStr">
        <is>
          <t>PIX TRANSF MSF CAF17/12</t>
        </is>
      </c>
      <c r="C154" s="22" t="n">
        <v>-684</v>
      </c>
      <c r="D154" s="21" t="inlineStr">
        <is>
          <t>saída</t>
        </is>
      </c>
      <c r="E154" s="21" t="inlineStr">
        <is>
          <t>Saúde</t>
        </is>
      </c>
      <c r="F154" s="21" t="inlineStr">
        <is>
          <t>2025-12</t>
        </is>
      </c>
      <c r="G154" s="21" t="inlineStr">
        <is>
          <t>Itaú CC</t>
        </is>
      </c>
    </row>
    <row r="155">
      <c r="A155" s="21" t="inlineStr">
        <is>
          <t>2025-12-17</t>
        </is>
      </c>
      <c r="B155" s="21" t="inlineStr">
        <is>
          <t>PERS BLACK 3609-3051</t>
        </is>
      </c>
      <c r="C155" s="22" t="n">
        <v>-5441.56</v>
      </c>
      <c r="D155" s="21" t="inlineStr">
        <is>
          <t>saída</t>
        </is>
      </c>
      <c r="E155" s="21" t="inlineStr">
        <is>
          <t>Fatura Cartão Itaú</t>
        </is>
      </c>
      <c r="F155" s="21" t="inlineStr">
        <is>
          <t>2025-12</t>
        </is>
      </c>
      <c r="G155" s="21" t="inlineStr">
        <is>
          <t>Itaú CC</t>
        </is>
      </c>
    </row>
    <row r="156">
      <c r="A156" s="19" t="inlineStr">
        <is>
          <t>2025-12-15</t>
        </is>
      </c>
      <c r="B156" s="19" t="inlineStr">
        <is>
          <t>PIX TRANSF GABRIEL15/12</t>
        </is>
      </c>
      <c r="C156" s="20" t="n">
        <v>-322</v>
      </c>
      <c r="D156" s="19" t="inlineStr">
        <is>
          <t>entrada</t>
        </is>
      </c>
      <c r="E156" s="19" t="inlineStr">
        <is>
          <t>Transferência Gabriel</t>
        </is>
      </c>
      <c r="F156" s="19" t="inlineStr">
        <is>
          <t>2025-12</t>
        </is>
      </c>
      <c r="G156" s="19" t="inlineStr">
        <is>
          <t>Itaú CC</t>
        </is>
      </c>
    </row>
    <row r="157">
      <c r="A157" s="21" t="inlineStr">
        <is>
          <t>2025-12-10</t>
        </is>
      </c>
      <c r="B157" s="21" t="inlineStr">
        <is>
          <t>PAG BOLETO CLUBE PAINEIRAS DO MORUMBY</t>
        </is>
      </c>
      <c r="C157" s="22" t="n">
        <v>-1211.99</v>
      </c>
      <c r="D157" s="21" t="inlineStr">
        <is>
          <t>saída</t>
        </is>
      </c>
      <c r="E157" s="21" t="inlineStr">
        <is>
          <t>Clube Paineiras</t>
        </is>
      </c>
      <c r="F157" s="21" t="inlineStr">
        <is>
          <t>2025-12</t>
        </is>
      </c>
      <c r="G157" s="21" t="inlineStr">
        <is>
          <t>Itaú CC</t>
        </is>
      </c>
    </row>
    <row r="158">
      <c r="A158" s="21" t="inlineStr">
        <is>
          <t>2025-12-10</t>
        </is>
      </c>
      <c r="B158" s="21" t="inlineStr">
        <is>
          <t>PAG BOLETO ESPORTE CLUBE PINHEIROS</t>
        </is>
      </c>
      <c r="C158" s="22" t="n">
        <v>-590</v>
      </c>
      <c r="D158" s="21" t="inlineStr">
        <is>
          <t>saída</t>
        </is>
      </c>
      <c r="E158" s="21" t="inlineStr">
        <is>
          <t>Clube ECP</t>
        </is>
      </c>
      <c r="F158" s="21" t="inlineStr">
        <is>
          <t>2025-12</t>
        </is>
      </c>
      <c r="G158" s="21" t="inlineStr">
        <is>
          <t>Itaú CC</t>
        </is>
      </c>
    </row>
    <row r="159">
      <c r="A159" s="21" t="inlineStr">
        <is>
          <t>2025-12-10</t>
        </is>
      </c>
      <c r="B159" s="21" t="inlineStr">
        <is>
          <t>DA VIVO-SP 11192739056</t>
        </is>
      </c>
      <c r="C159" s="22" t="n">
        <v>-315.98</v>
      </c>
      <c r="D159" s="21" t="inlineStr">
        <is>
          <t>saída</t>
        </is>
      </c>
      <c r="E159" s="21" t="inlineStr">
        <is>
          <t>Telecomunicações</t>
        </is>
      </c>
      <c r="F159" s="21" t="inlineStr">
        <is>
          <t>2025-12</t>
        </is>
      </c>
      <c r="G159" s="21" t="inlineStr">
        <is>
          <t>Itaú CC</t>
        </is>
      </c>
    </row>
    <row r="160">
      <c r="A160" s="21" t="inlineStr">
        <is>
          <t>2025-12-10</t>
        </is>
      </c>
      <c r="B160" s="21" t="inlineStr">
        <is>
          <t>DA CLARO BL/IT 53719250</t>
        </is>
      </c>
      <c r="C160" s="22" t="n">
        <v>-301.49</v>
      </c>
      <c r="D160" s="21" t="inlineStr">
        <is>
          <t>saída</t>
        </is>
      </c>
      <c r="E160" s="21" t="inlineStr">
        <is>
          <t>Telecomunicações</t>
        </is>
      </c>
      <c r="F160" s="21" t="inlineStr">
        <is>
          <t>2025-12</t>
        </is>
      </c>
      <c r="G160" s="21" t="inlineStr">
        <is>
          <t>Itaú CC</t>
        </is>
      </c>
    </row>
    <row r="161">
      <c r="A161" s="19" t="inlineStr">
        <is>
          <t>2025-12-08</t>
        </is>
      </c>
      <c r="B161" s="19" t="inlineStr">
        <is>
          <t>PIX TRANSF RONALDO08/12</t>
        </is>
      </c>
      <c r="C161" s="20" t="n">
        <v>276</v>
      </c>
      <c r="D161" s="19" t="inlineStr">
        <is>
          <t>entrada</t>
        </is>
      </c>
      <c r="E161" s="19" t="inlineStr">
        <is>
          <t>Outros</t>
        </is>
      </c>
      <c r="F161" s="19" t="inlineStr">
        <is>
          <t>2025-12</t>
        </is>
      </c>
      <c r="G161" s="19" t="inlineStr">
        <is>
          <t>Itaú CC</t>
        </is>
      </c>
    </row>
    <row r="162">
      <c r="A162" s="21" t="inlineStr">
        <is>
          <t>2025-12-05</t>
        </is>
      </c>
      <c r="B162" s="21" t="inlineStr">
        <is>
          <t>PIX TRANSF Ruy Hen05/12</t>
        </is>
      </c>
      <c r="C162" s="22" t="n">
        <v>-40</v>
      </c>
      <c r="D162" s="21" t="inlineStr">
        <is>
          <t>saída</t>
        </is>
      </c>
      <c r="E162" s="21" t="inlineStr">
        <is>
          <t>Outros</t>
        </is>
      </c>
      <c r="F162" s="21" t="inlineStr">
        <is>
          <t>2025-12</t>
        </is>
      </c>
      <c r="G162" s="21" t="inlineStr">
        <is>
          <t>Itaú CC</t>
        </is>
      </c>
    </row>
    <row r="163">
      <c r="A163" s="19" t="inlineStr">
        <is>
          <t>2025-12-05</t>
        </is>
      </c>
      <c r="B163" s="19" t="inlineStr">
        <is>
          <t>PIX TRANSF GABRIEL05/12</t>
        </is>
      </c>
      <c r="C163" s="20" t="n">
        <v>-1000</v>
      </c>
      <c r="D163" s="19" t="inlineStr">
        <is>
          <t>entrada</t>
        </is>
      </c>
      <c r="E163" s="19" t="inlineStr">
        <is>
          <t>Transferência Gabriel</t>
        </is>
      </c>
      <c r="F163" s="19" t="inlineStr">
        <is>
          <t>2025-12</t>
        </is>
      </c>
      <c r="G163" s="19" t="inlineStr">
        <is>
          <t>Itaú CC</t>
        </is>
      </c>
    </row>
    <row r="164">
      <c r="A164" s="21" t="inlineStr">
        <is>
          <t>2025-12-05</t>
        </is>
      </c>
      <c r="B164" s="21" t="inlineStr">
        <is>
          <t>PIX TRANSF YARA TE05/12</t>
        </is>
      </c>
      <c r="C164" s="22" t="n">
        <v>-1400</v>
      </c>
      <c r="D164" s="21" t="inlineStr">
        <is>
          <t>saída</t>
        </is>
      </c>
      <c r="E164" s="21" t="inlineStr">
        <is>
          <t>Educação</t>
        </is>
      </c>
      <c r="F164" s="21" t="inlineStr">
        <is>
          <t>2025-12</t>
        </is>
      </c>
      <c r="G164" s="21" t="inlineStr">
        <is>
          <t>Itaú CC</t>
        </is>
      </c>
    </row>
    <row r="165">
      <c r="A165" s="21" t="inlineStr">
        <is>
          <t>2025-12-05</t>
        </is>
      </c>
      <c r="B165" s="21" t="inlineStr">
        <is>
          <t>PIX TRANSF PORTELL05/12</t>
        </is>
      </c>
      <c r="C165" s="22" t="n">
        <v>-690</v>
      </c>
      <c r="D165" s="21" t="inlineStr">
        <is>
          <t>saída</t>
        </is>
      </c>
      <c r="E165" s="21" t="inlineStr">
        <is>
          <t>Educação</t>
        </is>
      </c>
      <c r="F165" s="21" t="inlineStr">
        <is>
          <t>2025-12</t>
        </is>
      </c>
      <c r="G165" s="21" t="inlineStr">
        <is>
          <t>Itaú CC</t>
        </is>
      </c>
    </row>
    <row r="166">
      <c r="A166" s="21" t="inlineStr">
        <is>
          <t>2025-12-04</t>
        </is>
      </c>
      <c r="B166" s="21" t="inlineStr">
        <is>
          <t>PIX TRANSF RICARDO04/12</t>
        </is>
      </c>
      <c r="C166" s="22" t="n">
        <v>-100</v>
      </c>
      <c r="D166" s="21" t="inlineStr">
        <is>
          <t>saída</t>
        </is>
      </c>
      <c r="E166" s="21" t="inlineStr">
        <is>
          <t>Outros</t>
        </is>
      </c>
      <c r="F166" s="21" t="inlineStr">
        <is>
          <t>2025-12</t>
        </is>
      </c>
      <c r="G166" s="21" t="inlineStr">
        <is>
          <t>Itaú CC</t>
        </is>
      </c>
    </row>
    <row r="167">
      <c r="A167" s="21" t="inlineStr">
        <is>
          <t>2025-12-04</t>
        </is>
      </c>
      <c r="B167" s="21" t="inlineStr">
        <is>
          <t>PIX TRANSF Wagner 04/12</t>
        </is>
      </c>
      <c r="C167" s="22" t="n">
        <v>-500</v>
      </c>
      <c r="D167" s="21" t="inlineStr">
        <is>
          <t>saída</t>
        </is>
      </c>
      <c r="E167" s="21" t="inlineStr">
        <is>
          <t>Outros</t>
        </is>
      </c>
      <c r="F167" s="21" t="inlineStr">
        <is>
          <t>2025-12</t>
        </is>
      </c>
      <c r="G167" s="21" t="inlineStr">
        <is>
          <t>Itaú CC</t>
        </is>
      </c>
    </row>
    <row r="168">
      <c r="A168" s="21" t="inlineStr">
        <is>
          <t>2025-12-03</t>
        </is>
      </c>
      <c r="B168" s="21" t="inlineStr">
        <is>
          <t>PIX TRANSF FACAPE 03/12</t>
        </is>
      </c>
      <c r="C168" s="22" t="n">
        <v>-5897.18</v>
      </c>
      <c r="D168" s="21" t="inlineStr">
        <is>
          <t>saída</t>
        </is>
      </c>
      <c r="E168" s="21" t="inlineStr">
        <is>
          <t>Educação</t>
        </is>
      </c>
      <c r="F168" s="21" t="inlineStr">
        <is>
          <t>2025-12</t>
        </is>
      </c>
      <c r="G168" s="21" t="inlineStr">
        <is>
          <t>Itaú CC</t>
        </is>
      </c>
    </row>
    <row r="169">
      <c r="A169" s="21" t="inlineStr">
        <is>
          <t>2025-12-02</t>
        </is>
      </c>
      <c r="B169" s="21" t="inlineStr">
        <is>
          <t>PIX TRANSF CARLOS 02/12</t>
        </is>
      </c>
      <c r="C169" s="22" t="n">
        <v>-140</v>
      </c>
      <c r="D169" s="21" t="inlineStr">
        <is>
          <t>saída</t>
        </is>
      </c>
      <c r="E169" s="21" t="inlineStr">
        <is>
          <t>Outros</t>
        </is>
      </c>
      <c r="F169" s="21" t="inlineStr">
        <is>
          <t>2025-12</t>
        </is>
      </c>
      <c r="G169" s="21" t="inlineStr">
        <is>
          <t>Itaú CC</t>
        </is>
      </c>
    </row>
    <row r="170">
      <c r="A170" s="19" t="inlineStr">
        <is>
          <t>2025-12-02</t>
        </is>
      </c>
      <c r="B170" s="19" t="inlineStr">
        <is>
          <t>PIX TRANSF RONALDO02/12</t>
        </is>
      </c>
      <c r="C170" s="20" t="n">
        <v>180</v>
      </c>
      <c r="D170" s="19" t="inlineStr">
        <is>
          <t>entrada</t>
        </is>
      </c>
      <c r="E170" s="19" t="inlineStr">
        <is>
          <t>Outros</t>
        </is>
      </c>
      <c r="F170" s="19" t="inlineStr">
        <is>
          <t>2025-12</t>
        </is>
      </c>
      <c r="G170" s="19" t="inlineStr">
        <is>
          <t>Itaú CC</t>
        </is>
      </c>
    </row>
    <row r="171">
      <c r="A171" s="21" t="inlineStr">
        <is>
          <t>2025-12-01</t>
        </is>
      </c>
      <c r="B171" s="21" t="inlineStr">
        <is>
          <t>PIX TRANSF DMW CON01/12</t>
        </is>
      </c>
      <c r="C171" s="22" t="n">
        <v>-405</v>
      </c>
      <c r="D171" s="21" t="inlineStr">
        <is>
          <t>saída</t>
        </is>
      </c>
      <c r="E171" s="21" t="inlineStr">
        <is>
          <t>Contabilidade</t>
        </is>
      </c>
      <c r="F171" s="21" t="inlineStr">
        <is>
          <t>2025-12</t>
        </is>
      </c>
      <c r="G171" s="21" t="inlineStr">
        <is>
          <t>Itaú CC</t>
        </is>
      </c>
    </row>
    <row r="172">
      <c r="A172" s="21" t="inlineStr">
        <is>
          <t>2025-12-01</t>
        </is>
      </c>
      <c r="B172" s="21" t="inlineStr">
        <is>
          <t>PIX TRANSF RENATO 01/12</t>
        </is>
      </c>
      <c r="C172" s="22" t="n">
        <v>-27500</v>
      </c>
      <c r="D172" s="21" t="inlineStr">
        <is>
          <t>saída</t>
        </is>
      </c>
      <c r="E172" s="21" t="inlineStr">
        <is>
          <t>Transferência Própria</t>
        </is>
      </c>
      <c r="F172" s="21" t="inlineStr">
        <is>
          <t>2025-12</t>
        </is>
      </c>
      <c r="G172" s="21" t="inlineStr">
        <is>
          <t>Itaú CC</t>
        </is>
      </c>
    </row>
    <row r="173">
      <c r="A173" s="21" t="inlineStr">
        <is>
          <t>2025-11-28</t>
        </is>
      </c>
      <c r="B173" s="21" t="inlineStr">
        <is>
          <t>PIX TRANSF 39.246.28/11</t>
        </is>
      </c>
      <c r="C173" s="22" t="n">
        <v>-100</v>
      </c>
      <c r="D173" s="21" t="inlineStr">
        <is>
          <t>saída</t>
        </is>
      </c>
      <c r="E173" s="21" t="inlineStr">
        <is>
          <t>Outros</t>
        </is>
      </c>
      <c r="F173" s="21" t="inlineStr">
        <is>
          <t>2025-11</t>
        </is>
      </c>
      <c r="G173" s="21" t="inlineStr">
        <is>
          <t>Itaú CC</t>
        </is>
      </c>
    </row>
    <row r="174">
      <c r="A174" s="21" t="inlineStr">
        <is>
          <t>2025-11-28</t>
        </is>
      </c>
      <c r="B174" s="21" t="inlineStr">
        <is>
          <t>PIX TRANSF 49.388.28/11</t>
        </is>
      </c>
      <c r="C174" s="22" t="n">
        <v>-27</v>
      </c>
      <c r="D174" s="21" t="inlineStr">
        <is>
          <t>saída</t>
        </is>
      </c>
      <c r="E174" s="21" t="inlineStr">
        <is>
          <t>Outros</t>
        </is>
      </c>
      <c r="F174" s="21" t="inlineStr">
        <is>
          <t>2025-11</t>
        </is>
      </c>
      <c r="G174" s="21" t="inlineStr">
        <is>
          <t>Itaú CC</t>
        </is>
      </c>
    </row>
    <row r="175">
      <c r="A175" s="19" t="inlineStr">
        <is>
          <t>2025-11-28</t>
        </is>
      </c>
      <c r="B175" s="19" t="inlineStr">
        <is>
          <t>PIX TRANSF AFL MED28/11</t>
        </is>
      </c>
      <c r="C175" s="20" t="n">
        <v>6000</v>
      </c>
      <c r="D175" s="19" t="inlineStr">
        <is>
          <t>entrada</t>
        </is>
      </c>
      <c r="E175" s="19" t="inlineStr">
        <is>
          <t>Reembolso</t>
        </is>
      </c>
      <c r="F175" s="19" t="inlineStr">
        <is>
          <t>2025-11</t>
        </is>
      </c>
      <c r="G175" s="19" t="inlineStr">
        <is>
          <t>Itaú CC</t>
        </is>
      </c>
    </row>
    <row r="176">
      <c r="A176" s="21" t="inlineStr">
        <is>
          <t>2025-11-28</t>
        </is>
      </c>
      <c r="B176" s="21" t="inlineStr">
        <is>
          <t>PIX QRS 1900 JARDIN28/11</t>
        </is>
      </c>
      <c r="C176" s="22" t="n">
        <v>-150.5</v>
      </c>
      <c r="D176" s="21" t="inlineStr">
        <is>
          <t>saída</t>
        </is>
      </c>
      <c r="E176" s="21" t="inlineStr">
        <is>
          <t>Restaurante</t>
        </is>
      </c>
      <c r="F176" s="21" t="inlineStr">
        <is>
          <t>2025-11</t>
        </is>
      </c>
      <c r="G176" s="21" t="inlineStr">
        <is>
          <t>Itaú CC</t>
        </is>
      </c>
    </row>
    <row r="177">
      <c r="A177" s="21" t="inlineStr">
        <is>
          <t>2025-11-28</t>
        </is>
      </c>
      <c r="B177" s="21" t="inlineStr">
        <is>
          <t>PIX TRANSF FERNAND28/11</t>
        </is>
      </c>
      <c r="C177" s="22" t="n">
        <v>-11800</v>
      </c>
      <c r="D177" s="21" t="inlineStr">
        <is>
          <t>saída</t>
        </is>
      </c>
      <c r="E177" s="21" t="inlineStr">
        <is>
          <t>Aluguel</t>
        </is>
      </c>
      <c r="F177" s="21" t="inlineStr">
        <is>
          <t>2025-11</t>
        </is>
      </c>
      <c r="G177" s="21" t="inlineStr">
        <is>
          <t>Itaú CC</t>
        </is>
      </c>
    </row>
    <row r="178">
      <c r="A178" s="19" t="inlineStr">
        <is>
          <t>2025-11-27</t>
        </is>
      </c>
      <c r="B178" s="19" t="inlineStr">
        <is>
          <t>PAGTO EM CONTA CORREN</t>
        </is>
      </c>
      <c r="C178" s="20" t="n">
        <v>51993.86</v>
      </c>
      <c r="D178" s="19" t="inlineStr">
        <is>
          <t>entrada</t>
        </is>
      </c>
      <c r="E178" s="19" t="inlineStr">
        <is>
          <t>Dividendos Nord</t>
        </is>
      </c>
      <c r="F178" s="19" t="inlineStr">
        <is>
          <t>2025-11</t>
        </is>
      </c>
      <c r="G178" s="19" t="inlineStr">
        <is>
          <t>Itaú CC</t>
        </is>
      </c>
    </row>
    <row r="179">
      <c r="A179" s="19" t="inlineStr">
        <is>
          <t>2025-11-27</t>
        </is>
      </c>
      <c r="B179" s="19" t="inlineStr">
        <is>
          <t>PAGTO SALARIO</t>
        </is>
      </c>
      <c r="C179" s="20" t="n">
        <v>1351.02</v>
      </c>
      <c r="D179" s="19" t="inlineStr">
        <is>
          <t>entrada</t>
        </is>
      </c>
      <c r="E179" s="19" t="inlineStr">
        <is>
          <t>Salário</t>
        </is>
      </c>
      <c r="F179" s="19" t="inlineStr">
        <is>
          <t>2025-11</t>
        </is>
      </c>
      <c r="G179" s="19" t="inlineStr">
        <is>
          <t>Itaú CC</t>
        </is>
      </c>
    </row>
    <row r="180">
      <c r="A180" s="21" t="inlineStr">
        <is>
          <t>2025-11-27</t>
        </is>
      </c>
      <c r="B180" s="21" t="inlineStr">
        <is>
          <t>PIX TRANSF EVERSON27/11</t>
        </is>
      </c>
      <c r="C180" s="22" t="n">
        <v>-30</v>
      </c>
      <c r="D180" s="21" t="inlineStr">
        <is>
          <t>saída</t>
        </is>
      </c>
      <c r="E180" s="21" t="inlineStr">
        <is>
          <t>Outros</t>
        </is>
      </c>
      <c r="F180" s="21" t="inlineStr">
        <is>
          <t>2025-11</t>
        </is>
      </c>
      <c r="G180" s="21" t="inlineStr">
        <is>
          <t>Itaú CC</t>
        </is>
      </c>
    </row>
    <row r="181">
      <c r="A181" s="21" t="inlineStr">
        <is>
          <t>2025-11-26</t>
        </is>
      </c>
      <c r="B181" s="21" t="inlineStr">
        <is>
          <t>PIX QRS LUCAS REZEN26/11</t>
        </is>
      </c>
      <c r="C181" s="22" t="n">
        <v>-1840</v>
      </c>
      <c r="D181" s="21" t="inlineStr">
        <is>
          <t>saída</t>
        </is>
      </c>
      <c r="E181" s="21" t="inlineStr">
        <is>
          <t>Personal Trainer</t>
        </is>
      </c>
      <c r="F181" s="21" t="inlineStr">
        <is>
          <t>2025-11</t>
        </is>
      </c>
      <c r="G181" s="21" t="inlineStr">
        <is>
          <t>Itaú CC</t>
        </is>
      </c>
    </row>
    <row r="182">
      <c r="A182" s="21" t="inlineStr">
        <is>
          <t>2025-11-26</t>
        </is>
      </c>
      <c r="B182" s="21" t="inlineStr">
        <is>
          <t>PIX QRS PAULO SERGI26/11</t>
        </is>
      </c>
      <c r="C182" s="22" t="n">
        <v>-150</v>
      </c>
      <c r="D182" s="21" t="inlineStr">
        <is>
          <t>saída</t>
        </is>
      </c>
      <c r="E182" s="21" t="inlineStr">
        <is>
          <t>Outros</t>
        </is>
      </c>
      <c r="F182" s="21" t="inlineStr">
        <is>
          <t>2025-11</t>
        </is>
      </c>
      <c r="G182" s="21" t="inlineStr">
        <is>
          <t>Itaú CC</t>
        </is>
      </c>
    </row>
    <row r="183">
      <c r="A183" s="21" t="inlineStr">
        <is>
          <t>2025-11-24</t>
        </is>
      </c>
      <c r="B183" s="21" t="inlineStr">
        <is>
          <t>PIX TRANSF MARINA 22/11</t>
        </is>
      </c>
      <c r="C183" s="22" t="n">
        <v>-3000</v>
      </c>
      <c r="D183" s="21" t="inlineStr">
        <is>
          <t>saída</t>
        </is>
      </c>
      <c r="E183" s="21" t="inlineStr">
        <is>
          <t>Outros</t>
        </is>
      </c>
      <c r="F183" s="21" t="inlineStr">
        <is>
          <t>2025-11</t>
        </is>
      </c>
      <c r="G183" s="21" t="inlineStr">
        <is>
          <t>Itaú CC</t>
        </is>
      </c>
    </row>
    <row r="184">
      <c r="A184" s="19" t="inlineStr">
        <is>
          <t>2025-11-24</t>
        </is>
      </c>
      <c r="B184" s="19" t="inlineStr">
        <is>
          <t>DI RESGATE CDB</t>
        </is>
      </c>
      <c r="C184" s="20" t="n">
        <v>16000.36</v>
      </c>
      <c r="D184" s="19" t="inlineStr">
        <is>
          <t>entrada</t>
        </is>
      </c>
      <c r="E184" s="19" t="inlineStr">
        <is>
          <t>Resgate CDB</t>
        </is>
      </c>
      <c r="F184" s="19" t="inlineStr">
        <is>
          <t>2025-11</t>
        </is>
      </c>
      <c r="G184" s="19" t="inlineStr">
        <is>
          <t>Itaú CC</t>
        </is>
      </c>
    </row>
    <row r="185">
      <c r="A185" s="19" t="inlineStr">
        <is>
          <t>2025-11-24</t>
        </is>
      </c>
      <c r="B185" s="19" t="inlineStr">
        <is>
          <t>PIX TRANSF GABRIEL24/11</t>
        </is>
      </c>
      <c r="C185" s="20" t="n">
        <v>-16000</v>
      </c>
      <c r="D185" s="19" t="inlineStr">
        <is>
          <t>entrada</t>
        </is>
      </c>
      <c r="E185" s="19" t="inlineStr">
        <is>
          <t>Transferência Gabriel</t>
        </is>
      </c>
      <c r="F185" s="19" t="inlineStr">
        <is>
          <t>2025-11</t>
        </is>
      </c>
      <c r="G185" s="19" t="inlineStr">
        <is>
          <t>Itaú CC</t>
        </is>
      </c>
    </row>
    <row r="186">
      <c r="A186" s="21" t="inlineStr">
        <is>
          <t>2025-11-19</t>
        </is>
      </c>
      <c r="B186" s="21" t="inlineStr">
        <is>
          <t>PIX TRANSF JOELMA 19/11</t>
        </is>
      </c>
      <c r="C186" s="22" t="n">
        <v>-460</v>
      </c>
      <c r="D186" s="21" t="inlineStr">
        <is>
          <t>saída</t>
        </is>
      </c>
      <c r="E186" s="21" t="inlineStr">
        <is>
          <t>Outros</t>
        </is>
      </c>
      <c r="F186" s="21" t="inlineStr">
        <is>
          <t>2025-11</t>
        </is>
      </c>
      <c r="G186" s="21" t="inlineStr">
        <is>
          <t>Itaú CC</t>
        </is>
      </c>
    </row>
    <row r="187">
      <c r="A187" s="21" t="inlineStr">
        <is>
          <t>2025-11-19</t>
        </is>
      </c>
      <c r="B187" s="21" t="inlineStr">
        <is>
          <t>PIX TRANSF GLAUCIA19/11</t>
        </is>
      </c>
      <c r="C187" s="22" t="n">
        <v>-1563</v>
      </c>
      <c r="D187" s="21" t="inlineStr">
        <is>
          <t>saída</t>
        </is>
      </c>
      <c r="E187" s="21" t="inlineStr">
        <is>
          <t>Serviços Domésticos</t>
        </is>
      </c>
      <c r="F187" s="21" t="inlineStr">
        <is>
          <t>2025-11</t>
        </is>
      </c>
      <c r="G187" s="21" t="inlineStr">
        <is>
          <t>Itaú CC</t>
        </is>
      </c>
    </row>
    <row r="188">
      <c r="A188" s="21" t="inlineStr">
        <is>
          <t>2025-11-17</t>
        </is>
      </c>
      <c r="B188" s="21" t="inlineStr">
        <is>
          <t>INT AZUL VISA</t>
        </is>
      </c>
      <c r="C188" s="22" t="n">
        <v>-158.2</v>
      </c>
      <c r="D188" s="21" t="inlineStr">
        <is>
          <t>saída</t>
        </is>
      </c>
      <c r="E188" s="21" t="inlineStr">
        <is>
          <t>Fatura Cartão Azul</t>
        </is>
      </c>
      <c r="F188" s="21" t="inlineStr">
        <is>
          <t>2025-11</t>
        </is>
      </c>
      <c r="G188" s="21" t="inlineStr">
        <is>
          <t>Itaú CC</t>
        </is>
      </c>
    </row>
    <row r="189">
      <c r="A189" s="21" t="inlineStr">
        <is>
          <t>2025-11-17</t>
        </is>
      </c>
      <c r="B189" s="21" t="inlineStr">
        <is>
          <t>PERS BLACK 3609-3051</t>
        </is>
      </c>
      <c r="C189" s="22" t="n">
        <v>-3919.63</v>
      </c>
      <c r="D189" s="21" t="inlineStr">
        <is>
          <t>saída</t>
        </is>
      </c>
      <c r="E189" s="21" t="inlineStr">
        <is>
          <t>Fatura Cartão Itaú</t>
        </is>
      </c>
      <c r="F189" s="21" t="inlineStr">
        <is>
          <t>2025-11</t>
        </is>
      </c>
      <c r="G189" s="21" t="inlineStr">
        <is>
          <t>Itaú CC</t>
        </is>
      </c>
    </row>
    <row r="190">
      <c r="A190" s="21" t="inlineStr">
        <is>
          <t>2025-11-14</t>
        </is>
      </c>
      <c r="B190" s="21" t="inlineStr">
        <is>
          <t>PIX TRANSF JOELMA 14/11</t>
        </is>
      </c>
      <c r="C190" s="22" t="n">
        <v>-460</v>
      </c>
      <c r="D190" s="21" t="inlineStr">
        <is>
          <t>saída</t>
        </is>
      </c>
      <c r="E190" s="21" t="inlineStr">
        <is>
          <t>Outros</t>
        </is>
      </c>
      <c r="F190" s="21" t="inlineStr">
        <is>
          <t>2025-11</t>
        </is>
      </c>
      <c r="G190" s="21" t="inlineStr">
        <is>
          <t>Itaú CC</t>
        </is>
      </c>
    </row>
    <row r="191">
      <c r="A191" s="21" t="inlineStr">
        <is>
          <t>2025-11-14</t>
        </is>
      </c>
      <c r="B191" s="21" t="inlineStr">
        <is>
          <t>PIX QRS LUIS ANTONI14/11</t>
        </is>
      </c>
      <c r="C191" s="22" t="n">
        <v>-55</v>
      </c>
      <c r="D191" s="21" t="inlineStr">
        <is>
          <t>saída</t>
        </is>
      </c>
      <c r="E191" s="21" t="inlineStr">
        <is>
          <t>Outros</t>
        </is>
      </c>
      <c r="F191" s="21" t="inlineStr">
        <is>
          <t>2025-11</t>
        </is>
      </c>
      <c r="G191" s="21" t="inlineStr">
        <is>
          <t>Itaú CC</t>
        </is>
      </c>
    </row>
    <row r="192">
      <c r="A192" s="21" t="inlineStr">
        <is>
          <t>2025-11-14</t>
        </is>
      </c>
      <c r="B192" s="21" t="inlineStr">
        <is>
          <t>PIX QRS QMS INTERNA14/11</t>
        </is>
      </c>
      <c r="C192" s="22" t="n">
        <v>-21.95</v>
      </c>
      <c r="D192" s="21" t="inlineStr">
        <is>
          <t>saída</t>
        </is>
      </c>
      <c r="E192" s="21" t="inlineStr">
        <is>
          <t>Outros</t>
        </is>
      </c>
      <c r="F192" s="21" t="inlineStr">
        <is>
          <t>2025-11</t>
        </is>
      </c>
      <c r="G192" s="21" t="inlineStr">
        <is>
          <t>Itaú CC</t>
        </is>
      </c>
    </row>
    <row r="193">
      <c r="A193" s="19" t="inlineStr">
        <is>
          <t>2025-11-13</t>
        </is>
      </c>
      <c r="B193" s="19" t="inlineStr">
        <is>
          <t>PIX TRANSF GABRIEL13/11</t>
        </is>
      </c>
      <c r="C193" s="20" t="n">
        <v>-20</v>
      </c>
      <c r="D193" s="19" t="inlineStr">
        <is>
          <t>entrada</t>
        </is>
      </c>
      <c r="E193" s="19" t="inlineStr">
        <is>
          <t>Transferência Gabriel</t>
        </is>
      </c>
      <c r="F193" s="19" t="inlineStr">
        <is>
          <t>2025-11</t>
        </is>
      </c>
      <c r="G193" s="19" t="inlineStr">
        <is>
          <t>Itaú CC</t>
        </is>
      </c>
    </row>
    <row r="194">
      <c r="A194" s="21" t="inlineStr">
        <is>
          <t>2025-11-10</t>
        </is>
      </c>
      <c r="B194" s="21" t="inlineStr">
        <is>
          <t>INT PAG TIT 237</t>
        </is>
      </c>
      <c r="C194" s="22" t="n">
        <v>-1204.05</v>
      </c>
      <c r="D194" s="21" t="inlineStr">
        <is>
          <t>saída</t>
        </is>
      </c>
      <c r="E194" s="21" t="inlineStr">
        <is>
          <t>Fatura Cartão</t>
        </is>
      </c>
      <c r="F194" s="21" t="inlineStr">
        <is>
          <t>2025-11</t>
        </is>
      </c>
      <c r="G194" s="21" t="inlineStr">
        <is>
          <t>Itaú CC</t>
        </is>
      </c>
    </row>
    <row r="195">
      <c r="A195" s="21" t="inlineStr">
        <is>
          <t>2025-11-10</t>
        </is>
      </c>
      <c r="B195" s="21" t="inlineStr">
        <is>
          <t>INT PAG TIT 237</t>
        </is>
      </c>
      <c r="C195" s="22" t="n">
        <v>-590</v>
      </c>
      <c r="D195" s="21" t="inlineStr">
        <is>
          <t>saída</t>
        </is>
      </c>
      <c r="E195" s="21" t="inlineStr">
        <is>
          <t>Fatura Cartão</t>
        </is>
      </c>
      <c r="F195" s="21" t="inlineStr">
        <is>
          <t>2025-11</t>
        </is>
      </c>
      <c r="G195" s="21" t="inlineStr">
        <is>
          <t>Itaú CC</t>
        </is>
      </c>
    </row>
    <row r="196">
      <c r="A196" s="21" t="inlineStr">
        <is>
          <t>2025-11-10</t>
        </is>
      </c>
      <c r="B196" s="21" t="inlineStr">
        <is>
          <t>DA CLARO BL/IT 53719250</t>
        </is>
      </c>
      <c r="C196" s="22" t="n">
        <v>-322.48</v>
      </c>
      <c r="D196" s="21" t="inlineStr">
        <is>
          <t>saída</t>
        </is>
      </c>
      <c r="E196" s="21" t="inlineStr">
        <is>
          <t>Telecomunicações</t>
        </is>
      </c>
      <c r="F196" s="21" t="inlineStr">
        <is>
          <t>2025-11</t>
        </is>
      </c>
      <c r="G196" s="21" t="inlineStr">
        <is>
          <t>Itaú CC</t>
        </is>
      </c>
    </row>
    <row r="197">
      <c r="A197" s="21" t="inlineStr">
        <is>
          <t>2025-11-10</t>
        </is>
      </c>
      <c r="B197" s="21" t="inlineStr">
        <is>
          <t>DA VIVO-SP 11192739056</t>
        </is>
      </c>
      <c r="C197" s="22" t="n">
        <v>-295.99</v>
      </c>
      <c r="D197" s="21" t="inlineStr">
        <is>
          <t>saída</t>
        </is>
      </c>
      <c r="E197" s="21" t="inlineStr">
        <is>
          <t>Telecomunicações</t>
        </is>
      </c>
      <c r="F197" s="21" t="inlineStr">
        <is>
          <t>2025-11</t>
        </is>
      </c>
      <c r="G197" s="21" t="inlineStr">
        <is>
          <t>Itaú CC</t>
        </is>
      </c>
    </row>
    <row r="198">
      <c r="A198" s="21" t="inlineStr">
        <is>
          <t>2025-11-06</t>
        </is>
      </c>
      <c r="B198" s="21" t="inlineStr">
        <is>
          <t>PIX TRANSF MAURICI06/11</t>
        </is>
      </c>
      <c r="C198" s="22" t="n">
        <v>-80</v>
      </c>
      <c r="D198" s="21" t="inlineStr">
        <is>
          <t>saída</t>
        </is>
      </c>
      <c r="E198" s="21" t="inlineStr">
        <is>
          <t>Outros</t>
        </is>
      </c>
      <c r="F198" s="21" t="inlineStr">
        <is>
          <t>2025-11</t>
        </is>
      </c>
      <c r="G198" s="21" t="inlineStr">
        <is>
          <t>Itaú CC</t>
        </is>
      </c>
    </row>
    <row r="199">
      <c r="A199" s="21" t="inlineStr">
        <is>
          <t>2025-11-05</t>
        </is>
      </c>
      <c r="B199" s="21" t="inlineStr">
        <is>
          <t>PIX TRANSF LUSOVIN05/11</t>
        </is>
      </c>
      <c r="C199" s="22" t="n">
        <v>-5262.13</v>
      </c>
      <c r="D199" s="21" t="inlineStr">
        <is>
          <t>saída</t>
        </is>
      </c>
      <c r="E199" s="21" t="inlineStr">
        <is>
          <t>Vinho</t>
        </is>
      </c>
      <c r="F199" s="21" t="inlineStr">
        <is>
          <t>2025-11</t>
        </is>
      </c>
      <c r="G199" s="21" t="inlineStr">
        <is>
          <t>Itaú CC</t>
        </is>
      </c>
    </row>
    <row r="200">
      <c r="A200" s="21" t="inlineStr">
        <is>
          <t>2025-11-04</t>
        </is>
      </c>
      <c r="B200" s="21" t="inlineStr">
        <is>
          <t>INT AZUL VISA</t>
        </is>
      </c>
      <c r="C200" s="22" t="n">
        <v>-1888.81</v>
      </c>
      <c r="D200" s="21" t="inlineStr">
        <is>
          <t>saída</t>
        </is>
      </c>
      <c r="E200" s="21" t="inlineStr">
        <is>
          <t>Fatura Cartão Azul</t>
        </is>
      </c>
      <c r="F200" s="21" t="inlineStr">
        <is>
          <t>2025-11</t>
        </is>
      </c>
      <c r="G200" s="21" t="inlineStr">
        <is>
          <t>Itaú CC</t>
        </is>
      </c>
    </row>
    <row r="201">
      <c r="A201" s="21" t="inlineStr">
        <is>
          <t>2025-11-04</t>
        </is>
      </c>
      <c r="B201" s="21" t="inlineStr">
        <is>
          <t>PIX TRANSF ALEX GO04/11</t>
        </is>
      </c>
      <c r="C201" s="22" t="n">
        <v>-152.85</v>
      </c>
      <c r="D201" s="21" t="inlineStr">
        <is>
          <t>saída</t>
        </is>
      </c>
      <c r="E201" s="21" t="inlineStr">
        <is>
          <t>Outros</t>
        </is>
      </c>
      <c r="F201" s="21" t="inlineStr">
        <is>
          <t>2025-11</t>
        </is>
      </c>
      <c r="G201" s="21" t="inlineStr">
        <is>
          <t>Itaú CC</t>
        </is>
      </c>
    </row>
    <row r="202">
      <c r="A202" s="21" t="inlineStr">
        <is>
          <t>2025-11-04</t>
        </is>
      </c>
      <c r="B202" s="21" t="inlineStr">
        <is>
          <t>IOF</t>
        </is>
      </c>
      <c r="C202" s="22" t="n">
        <v>-3.56</v>
      </c>
      <c r="D202" s="21" t="inlineStr">
        <is>
          <t>saída</t>
        </is>
      </c>
      <c r="E202" s="21" t="inlineStr">
        <is>
          <t>IOF</t>
        </is>
      </c>
      <c r="F202" s="21" t="inlineStr">
        <is>
          <t>2025-11</t>
        </is>
      </c>
      <c r="G202" s="21" t="inlineStr">
        <is>
          <t>Itaú CC</t>
        </is>
      </c>
    </row>
    <row r="203">
      <c r="A203" s="21" t="inlineStr">
        <is>
          <t>2025-11-03</t>
        </is>
      </c>
      <c r="B203" s="21" t="inlineStr">
        <is>
          <t>PIX TRANSF RENATO 02/11</t>
        </is>
      </c>
      <c r="C203" s="22" t="n">
        <v>-23450</v>
      </c>
      <c r="D203" s="21" t="inlineStr">
        <is>
          <t>saída</t>
        </is>
      </c>
      <c r="E203" s="21" t="inlineStr">
        <is>
          <t>Transferência Própria</t>
        </is>
      </c>
      <c r="F203" s="21" t="inlineStr">
        <is>
          <t>2025-11</t>
        </is>
      </c>
      <c r="G203" s="21" t="inlineStr">
        <is>
          <t>Itaú CC</t>
        </is>
      </c>
    </row>
    <row r="204">
      <c r="A204" s="21" t="inlineStr">
        <is>
          <t>2025-10-31</t>
        </is>
      </c>
      <c r="B204" s="21" t="inlineStr">
        <is>
          <t>PIX TRANSF DMW CON31/10</t>
        </is>
      </c>
      <c r="C204" s="22" t="n">
        <v>-405</v>
      </c>
      <c r="D204" s="21" t="inlineStr">
        <is>
          <t>saída</t>
        </is>
      </c>
      <c r="E204" s="21" t="inlineStr">
        <is>
          <t>Contabilidade</t>
        </is>
      </c>
      <c r="F204" s="21" t="inlineStr">
        <is>
          <t>2025-10</t>
        </is>
      </c>
      <c r="G204" s="21" t="inlineStr">
        <is>
          <t>Itaú CC</t>
        </is>
      </c>
    </row>
    <row r="205">
      <c r="A205" s="21" t="inlineStr">
        <is>
          <t>2025-10-31</t>
        </is>
      </c>
      <c r="B205" s="21" t="inlineStr">
        <is>
          <t>PIX TRANSF CARLOS 31/10</t>
        </is>
      </c>
      <c r="C205" s="22" t="n">
        <v>-210</v>
      </c>
      <c r="D205" s="21" t="inlineStr">
        <is>
          <t>saída</t>
        </is>
      </c>
      <c r="E205" s="21" t="inlineStr">
        <is>
          <t>Outros</t>
        </is>
      </c>
      <c r="F205" s="21" t="inlineStr">
        <is>
          <t>2025-10</t>
        </is>
      </c>
      <c r="G205" s="21" t="inlineStr">
        <is>
          <t>Itaú CC</t>
        </is>
      </c>
    </row>
    <row r="206">
      <c r="A206" s="19" t="inlineStr">
        <is>
          <t>2025-10-30</t>
        </is>
      </c>
      <c r="B206" s="19" t="inlineStr">
        <is>
          <t>PAGTO SALARIO</t>
        </is>
      </c>
      <c r="C206" s="20" t="n">
        <v>1351.02</v>
      </c>
      <c r="D206" s="19" t="inlineStr">
        <is>
          <t>entrada</t>
        </is>
      </c>
      <c r="E206" s="19" t="inlineStr">
        <is>
          <t>Salário</t>
        </is>
      </c>
      <c r="F206" s="19" t="inlineStr">
        <is>
          <t>2025-10</t>
        </is>
      </c>
      <c r="G206" s="19" t="inlineStr">
        <is>
          <t>Itaú CC</t>
        </is>
      </c>
    </row>
    <row r="207">
      <c r="A207" s="19" t="inlineStr">
        <is>
          <t>2025-10-30</t>
        </is>
      </c>
      <c r="B207" s="19" t="inlineStr">
        <is>
          <t>PAGTO EM CONTA CORREN</t>
        </is>
      </c>
      <c r="C207" s="20" t="n">
        <v>51713.86</v>
      </c>
      <c r="D207" s="19" t="inlineStr">
        <is>
          <t>entrada</t>
        </is>
      </c>
      <c r="E207" s="19" t="inlineStr">
        <is>
          <t>Dividendos Nord</t>
        </is>
      </c>
      <c r="F207" s="19" t="inlineStr">
        <is>
          <t>2025-10</t>
        </is>
      </c>
      <c r="G207" s="19" t="inlineStr">
        <is>
          <t>Itaú CC</t>
        </is>
      </c>
    </row>
    <row r="208">
      <c r="A208" s="21" t="inlineStr">
        <is>
          <t>2025-10-30</t>
        </is>
      </c>
      <c r="B208" s="21" t="inlineStr">
        <is>
          <t>PIX TRANSF LR - PR30/10</t>
        </is>
      </c>
      <c r="C208" s="22" t="n">
        <v>-2070</v>
      </c>
      <c r="D208" s="21" t="inlineStr">
        <is>
          <t>saída</t>
        </is>
      </c>
      <c r="E208" s="21" t="inlineStr">
        <is>
          <t>⚠ LR-PR</t>
        </is>
      </c>
      <c r="F208" s="21" t="inlineStr">
        <is>
          <t>2025-10</t>
        </is>
      </c>
      <c r="G208" s="21" t="inlineStr">
        <is>
          <t>Itaú CC</t>
        </is>
      </c>
    </row>
    <row r="209">
      <c r="A209" s="21" t="inlineStr">
        <is>
          <t>2025-10-29</t>
        </is>
      </c>
      <c r="B209" s="21" t="inlineStr">
        <is>
          <t>PIX TRANSF Diego P29/10</t>
        </is>
      </c>
      <c r="C209" s="22" t="n">
        <v>-2500</v>
      </c>
      <c r="D209" s="21" t="inlineStr">
        <is>
          <t>saída</t>
        </is>
      </c>
      <c r="E209" s="21" t="inlineStr">
        <is>
          <t>Outros</t>
        </is>
      </c>
      <c r="F209" s="21" t="inlineStr">
        <is>
          <t>2025-10</t>
        </is>
      </c>
      <c r="G209" s="21" t="inlineStr">
        <is>
          <t>Itaú CC</t>
        </is>
      </c>
    </row>
    <row r="210">
      <c r="A210" s="21" t="inlineStr">
        <is>
          <t>2025-10-29</t>
        </is>
      </c>
      <c r="B210" s="21" t="inlineStr">
        <is>
          <t>PIX TRANSF FERNAND29/10</t>
        </is>
      </c>
      <c r="C210" s="22" t="n">
        <v>-11800</v>
      </c>
      <c r="D210" s="21" t="inlineStr">
        <is>
          <t>saída</t>
        </is>
      </c>
      <c r="E210" s="21" t="inlineStr">
        <is>
          <t>Aluguel</t>
        </is>
      </c>
      <c r="F210" s="21" t="inlineStr">
        <is>
          <t>2025-10</t>
        </is>
      </c>
      <c r="G210" s="21" t="inlineStr">
        <is>
          <t>Itaú CC</t>
        </is>
      </c>
    </row>
    <row r="211">
      <c r="A211" s="19" t="inlineStr">
        <is>
          <t>2025-10-29</t>
        </is>
      </c>
      <c r="B211" s="19" t="inlineStr">
        <is>
          <t>RESGATE CDB DI</t>
        </is>
      </c>
      <c r="C211" s="20" t="n">
        <v>8001.05</v>
      </c>
      <c r="D211" s="19" t="inlineStr">
        <is>
          <t>entrada</t>
        </is>
      </c>
      <c r="E211" s="19" t="inlineStr">
        <is>
          <t>Resgate CDB</t>
        </is>
      </c>
      <c r="F211" s="19" t="inlineStr">
        <is>
          <t>2025-10</t>
        </is>
      </c>
      <c r="G211" s="19" t="inlineStr">
        <is>
          <t>Itaú CC</t>
        </is>
      </c>
    </row>
    <row r="212">
      <c r="A212" s="21" t="inlineStr">
        <is>
          <t>2025-10-28</t>
        </is>
      </c>
      <c r="B212" s="21" t="inlineStr">
        <is>
          <t>PIX TRANSF FARMACI28/10</t>
        </is>
      </c>
      <c r="C212" s="22" t="n">
        <v>-484</v>
      </c>
      <c r="D212" s="21" t="inlineStr">
        <is>
          <t>saída</t>
        </is>
      </c>
      <c r="E212" s="21" t="inlineStr">
        <is>
          <t>Saúde/Farmácia</t>
        </is>
      </c>
      <c r="F212" s="21" t="inlineStr">
        <is>
          <t>2025-10</t>
        </is>
      </c>
      <c r="G212" s="21" t="inlineStr">
        <is>
          <t>Itaú CC</t>
        </is>
      </c>
    </row>
    <row r="213">
      <c r="A213" s="21" t="inlineStr">
        <is>
          <t>2025-10-27</t>
        </is>
      </c>
      <c r="B213" s="21" t="inlineStr">
        <is>
          <t>PIX TRANSF WINE BR25/10</t>
        </is>
      </c>
      <c r="C213" s="22" t="n">
        <v>-701.05</v>
      </c>
      <c r="D213" s="21" t="inlineStr">
        <is>
          <t>saída</t>
        </is>
      </c>
      <c r="E213" s="21" t="inlineStr">
        <is>
          <t>Vinho</t>
        </is>
      </c>
      <c r="F213" s="21" t="inlineStr">
        <is>
          <t>2025-10</t>
        </is>
      </c>
      <c r="G213" s="21" t="inlineStr">
        <is>
          <t>Itaú CC</t>
        </is>
      </c>
    </row>
    <row r="214">
      <c r="A214" s="21" t="inlineStr">
        <is>
          <t>2025-10-27</t>
        </is>
      </c>
      <c r="B214" s="21" t="inlineStr">
        <is>
          <t>PIX TRANSF Carla C27/10</t>
        </is>
      </c>
      <c r="C214" s="22" t="n">
        <v>-300</v>
      </c>
      <c r="D214" s="21" t="inlineStr">
        <is>
          <t>saída</t>
        </is>
      </c>
      <c r="E214" s="21" t="inlineStr">
        <is>
          <t>Outros</t>
        </is>
      </c>
      <c r="F214" s="21" t="inlineStr">
        <is>
          <t>2025-10</t>
        </is>
      </c>
      <c r="G214" s="21" t="inlineStr">
        <is>
          <t>Itaú CC</t>
        </is>
      </c>
    </row>
    <row r="215">
      <c r="A215" s="21" t="inlineStr">
        <is>
          <t>2025-10-24</t>
        </is>
      </c>
      <c r="B215" s="21" t="inlineStr">
        <is>
          <t>INT AZUL VISA</t>
        </is>
      </c>
      <c r="C215" s="22" t="n">
        <v>-2494.34</v>
      </c>
      <c r="D215" s="21" t="inlineStr">
        <is>
          <t>saída</t>
        </is>
      </c>
      <c r="E215" s="21" t="inlineStr">
        <is>
          <t>Fatura Cartão Azul</t>
        </is>
      </c>
      <c r="F215" s="21" t="inlineStr">
        <is>
          <t>2025-10</t>
        </is>
      </c>
      <c r="G215" s="21" t="inlineStr">
        <is>
          <t>Itaú CC</t>
        </is>
      </c>
    </row>
    <row r="216">
      <c r="A216" s="21" t="inlineStr">
        <is>
          <t>2025-10-21</t>
        </is>
      </c>
      <c r="B216" s="21" t="inlineStr">
        <is>
          <t>PIX QRS Graycy Kell21/10</t>
        </is>
      </c>
      <c r="C216" s="22" t="n">
        <v>-66.75</v>
      </c>
      <c r="D216" s="21" t="inlineStr">
        <is>
          <t>saída</t>
        </is>
      </c>
      <c r="E216" s="21" t="inlineStr">
        <is>
          <t>Outros</t>
        </is>
      </c>
      <c r="F216" s="21" t="inlineStr">
        <is>
          <t>2025-10</t>
        </is>
      </c>
      <c r="G216" s="21" t="inlineStr">
        <is>
          <t>Itaú CC</t>
        </is>
      </c>
    </row>
    <row r="217">
      <c r="A217" s="21" t="inlineStr">
        <is>
          <t>2025-10-20</t>
        </is>
      </c>
      <c r="B217" s="21" t="inlineStr">
        <is>
          <t>PIX TRANSF JOELMA 19/10</t>
        </is>
      </c>
      <c r="C217" s="22" t="n">
        <v>-460</v>
      </c>
      <c r="D217" s="21" t="inlineStr">
        <is>
          <t>saída</t>
        </is>
      </c>
      <c r="E217" s="21" t="inlineStr">
        <is>
          <t>Outros</t>
        </is>
      </c>
      <c r="F217" s="21" t="inlineStr">
        <is>
          <t>2025-10</t>
        </is>
      </c>
      <c r="G217" s="21" t="inlineStr">
        <is>
          <t>Itaú CC</t>
        </is>
      </c>
    </row>
    <row r="218">
      <c r="A218" s="21" t="inlineStr">
        <is>
          <t>2025-10-20</t>
        </is>
      </c>
      <c r="B218" s="21" t="inlineStr">
        <is>
          <t>PIX WHATS QRCODE MERCADO OFI20/10</t>
        </is>
      </c>
      <c r="C218" s="22" t="n">
        <v>-196.55</v>
      </c>
      <c r="D218" s="21" t="inlineStr">
        <is>
          <t>saída</t>
        </is>
      </c>
      <c r="E218" s="21" t="inlineStr">
        <is>
          <t>Outros</t>
        </is>
      </c>
      <c r="F218" s="21" t="inlineStr">
        <is>
          <t>2025-10</t>
        </is>
      </c>
      <c r="G218" s="21" t="inlineStr">
        <is>
          <t>Itaú CC</t>
        </is>
      </c>
    </row>
    <row r="219">
      <c r="A219" s="21" t="inlineStr">
        <is>
          <t>2025-10-17</t>
        </is>
      </c>
      <c r="B219" s="21" t="inlineStr">
        <is>
          <t>PERS BLACK 3609-3051</t>
        </is>
      </c>
      <c r="C219" s="22" t="n">
        <v>-3933.81</v>
      </c>
      <c r="D219" s="21" t="inlineStr">
        <is>
          <t>saída</t>
        </is>
      </c>
      <c r="E219" s="21" t="inlineStr">
        <is>
          <t>Fatura Cartão Itaú</t>
        </is>
      </c>
      <c r="F219" s="21" t="inlineStr">
        <is>
          <t>2025-10</t>
        </is>
      </c>
      <c r="G219" s="21" t="inlineStr">
        <is>
          <t>Itaú CC</t>
        </is>
      </c>
    </row>
    <row r="220">
      <c r="A220" s="19" t="inlineStr">
        <is>
          <t>2025-10-16</t>
        </is>
      </c>
      <c r="B220" s="19" t="inlineStr">
        <is>
          <t>PIX TRANSF VICTOR 16/10</t>
        </is>
      </c>
      <c r="C220" s="20" t="n">
        <v>500</v>
      </c>
      <c r="D220" s="19" t="inlineStr">
        <is>
          <t>entrada</t>
        </is>
      </c>
      <c r="E220" s="19" t="inlineStr">
        <is>
          <t>Outros</t>
        </is>
      </c>
      <c r="F220" s="19" t="inlineStr">
        <is>
          <t>2025-10</t>
        </is>
      </c>
      <c r="G220" s="19" t="inlineStr">
        <is>
          <t>Itaú CC</t>
        </is>
      </c>
    </row>
    <row r="221">
      <c r="A221" s="21" t="inlineStr">
        <is>
          <t>2025-10-16</t>
        </is>
      </c>
      <c r="B221" s="21" t="inlineStr">
        <is>
          <t>PIX TRANSF SHEYLA 16/10</t>
        </is>
      </c>
      <c r="C221" s="22" t="n">
        <v>-350</v>
      </c>
      <c r="D221" s="21" t="inlineStr">
        <is>
          <t>saída</t>
        </is>
      </c>
      <c r="E221" s="21" t="inlineStr">
        <is>
          <t>Outros</t>
        </is>
      </c>
      <c r="F221" s="21" t="inlineStr">
        <is>
          <t>2025-10</t>
        </is>
      </c>
      <c r="G221" s="21" t="inlineStr">
        <is>
          <t>Itaú CC</t>
        </is>
      </c>
    </row>
    <row r="222">
      <c r="A222" s="21" t="inlineStr">
        <is>
          <t>2025-10-15</t>
        </is>
      </c>
      <c r="B222" s="21" t="inlineStr">
        <is>
          <t>PIX TRANSF SHEYLA 15/10</t>
        </is>
      </c>
      <c r="C222" s="22" t="n">
        <v>-350</v>
      </c>
      <c r="D222" s="21" t="inlineStr">
        <is>
          <t>saída</t>
        </is>
      </c>
      <c r="E222" s="21" t="inlineStr">
        <is>
          <t>Outros</t>
        </is>
      </c>
      <c r="F222" s="21" t="inlineStr">
        <is>
          <t>2025-10</t>
        </is>
      </c>
      <c r="G222" s="21" t="inlineStr">
        <is>
          <t>Itaú CC</t>
        </is>
      </c>
    </row>
    <row r="223">
      <c r="A223" s="21" t="inlineStr">
        <is>
          <t>2025-10-13</t>
        </is>
      </c>
      <c r="B223" s="21" t="inlineStr">
        <is>
          <t>INT /SAO PAULO-MULT 0671</t>
        </is>
      </c>
      <c r="C223" s="22" t="n">
        <v>-143.05</v>
      </c>
      <c r="D223" s="21" t="inlineStr">
        <is>
          <t>saída</t>
        </is>
      </c>
      <c r="E223" s="21" t="inlineStr">
        <is>
          <t>Outros</t>
        </is>
      </c>
      <c r="F223" s="21" t="inlineStr">
        <is>
          <t>2025-10</t>
        </is>
      </c>
      <c r="G223" s="21" t="inlineStr">
        <is>
          <t>Itaú CC</t>
        </is>
      </c>
    </row>
    <row r="224">
      <c r="A224" s="21" t="inlineStr">
        <is>
          <t>2025-10-13</t>
        </is>
      </c>
      <c r="B224" s="21" t="inlineStr">
        <is>
          <t>INT /SAO PAULO-MULT 0671</t>
        </is>
      </c>
      <c r="C224" s="22" t="n">
        <v>-78.09999999999999</v>
      </c>
      <c r="D224" s="21" t="inlineStr">
        <is>
          <t>saída</t>
        </is>
      </c>
      <c r="E224" s="21" t="inlineStr">
        <is>
          <t>Outros</t>
        </is>
      </c>
      <c r="F224" s="21" t="inlineStr">
        <is>
          <t>2025-10</t>
        </is>
      </c>
      <c r="G224" s="21" t="inlineStr">
        <is>
          <t>Itaú CC</t>
        </is>
      </c>
    </row>
    <row r="225">
      <c r="A225" s="21" t="inlineStr">
        <is>
          <t>2025-10-13</t>
        </is>
      </c>
      <c r="B225" s="21" t="inlineStr">
        <is>
          <t>PIX QRS HORTUS COME12/10</t>
        </is>
      </c>
      <c r="C225" s="22" t="n">
        <v>-324.46</v>
      </c>
      <c r="D225" s="21" t="inlineStr">
        <is>
          <t>saída</t>
        </is>
      </c>
      <c r="E225" s="21" t="inlineStr">
        <is>
          <t>Alimentação</t>
        </is>
      </c>
      <c r="F225" s="21" t="inlineStr">
        <is>
          <t>2025-10</t>
        </is>
      </c>
      <c r="G225" s="21" t="inlineStr">
        <is>
          <t>Itaú CC</t>
        </is>
      </c>
    </row>
    <row r="226">
      <c r="A226" s="21" t="inlineStr">
        <is>
          <t>2025-10-13</t>
        </is>
      </c>
      <c r="B226" s="21" t="inlineStr">
        <is>
          <t>PIX TRANSF PARADIG13/10</t>
        </is>
      </c>
      <c r="C226" s="22" t="n">
        <v>-1296.42</v>
      </c>
      <c r="D226" s="21" t="inlineStr">
        <is>
          <t>saída</t>
        </is>
      </c>
      <c r="E226" s="21" t="inlineStr">
        <is>
          <t>Outros</t>
        </is>
      </c>
      <c r="F226" s="21" t="inlineStr">
        <is>
          <t>2025-10</t>
        </is>
      </c>
      <c r="G226" s="21" t="inlineStr">
        <is>
          <t>Itaú CC</t>
        </is>
      </c>
    </row>
    <row r="227">
      <c r="A227" s="21" t="inlineStr">
        <is>
          <t>2025-10-13</t>
        </is>
      </c>
      <c r="B227" s="21" t="inlineStr">
        <is>
          <t>APLICACAO CDB DI</t>
        </is>
      </c>
      <c r="C227" s="22" t="n">
        <v>-60000</v>
      </c>
      <c r="D227" s="21" t="inlineStr">
        <is>
          <t>saída</t>
        </is>
      </c>
      <c r="E227" s="21" t="inlineStr">
        <is>
          <t>Aplicação CDB</t>
        </is>
      </c>
      <c r="F227" s="21" t="inlineStr">
        <is>
          <t>2025-10</t>
        </is>
      </c>
      <c r="G227" s="21" t="inlineStr">
        <is>
          <t>Itaú CC</t>
        </is>
      </c>
    </row>
    <row r="228">
      <c r="A228" s="19" t="inlineStr">
        <is>
          <t>2025-10-13</t>
        </is>
      </c>
      <c r="B228" s="19" t="inlineStr">
        <is>
          <t>VENCIMENTO LCI</t>
        </is>
      </c>
      <c r="C228" s="20" t="n">
        <v>67597.94</v>
      </c>
      <c r="D228" s="19" t="inlineStr">
        <is>
          <t>entrada</t>
        </is>
      </c>
      <c r="E228" s="19" t="inlineStr">
        <is>
          <t>Rendimentos</t>
        </is>
      </c>
      <c r="F228" s="19" t="inlineStr">
        <is>
          <t>2025-10</t>
        </is>
      </c>
      <c r="G228" s="19" t="inlineStr">
        <is>
          <t>Itaú CC</t>
        </is>
      </c>
    </row>
    <row r="229">
      <c r="A229" s="21" t="inlineStr">
        <is>
          <t>2025-10-10</t>
        </is>
      </c>
      <c r="B229" s="21" t="inlineStr">
        <is>
          <t>PIX TRANSF SHEYLA 10/10</t>
        </is>
      </c>
      <c r="C229" s="22" t="n">
        <v>-300</v>
      </c>
      <c r="D229" s="21" t="inlineStr">
        <is>
          <t>saída</t>
        </is>
      </c>
      <c r="E229" s="21" t="inlineStr">
        <is>
          <t>Outros</t>
        </is>
      </c>
      <c r="F229" s="21" t="inlineStr">
        <is>
          <t>2025-10</t>
        </is>
      </c>
      <c r="G229" s="21" t="inlineStr">
        <is>
          <t>Itaú CC</t>
        </is>
      </c>
    </row>
    <row r="230">
      <c r="A230" s="21" t="inlineStr">
        <is>
          <t>2025-10-10</t>
        </is>
      </c>
      <c r="B230" s="21" t="inlineStr">
        <is>
          <t>PIX TRANSF MARIA A10/10</t>
        </is>
      </c>
      <c r="C230" s="22" t="n">
        <v>-150</v>
      </c>
      <c r="D230" s="21" t="inlineStr">
        <is>
          <t>saída</t>
        </is>
      </c>
      <c r="E230" s="21" t="inlineStr">
        <is>
          <t>Outros</t>
        </is>
      </c>
      <c r="F230" s="21" t="inlineStr">
        <is>
          <t>2025-10</t>
        </is>
      </c>
      <c r="G230" s="21" t="inlineStr">
        <is>
          <t>Itaú CC</t>
        </is>
      </c>
    </row>
    <row r="231">
      <c r="A231" s="21" t="inlineStr">
        <is>
          <t>2025-10-10</t>
        </is>
      </c>
      <c r="B231" s="21" t="inlineStr">
        <is>
          <t>DA CLARO RESID 53719250</t>
        </is>
      </c>
      <c r="C231" s="22" t="n">
        <v>-282.58</v>
      </c>
      <c r="D231" s="21" t="inlineStr">
        <is>
          <t>saída</t>
        </is>
      </c>
      <c r="E231" s="21" t="inlineStr">
        <is>
          <t>Telecomunicações</t>
        </is>
      </c>
      <c r="F231" s="21" t="inlineStr">
        <is>
          <t>2025-10</t>
        </is>
      </c>
      <c r="G231" s="21" t="inlineStr">
        <is>
          <t>Itaú CC</t>
        </is>
      </c>
    </row>
    <row r="232">
      <c r="A232" s="21" t="inlineStr">
        <is>
          <t>2025-10-10</t>
        </is>
      </c>
      <c r="B232" s="21" t="inlineStr">
        <is>
          <t>DA VIVO-SP 11192739056</t>
        </is>
      </c>
      <c r="C232" s="22" t="n">
        <v>-295.99</v>
      </c>
      <c r="D232" s="21" t="inlineStr">
        <is>
          <t>saída</t>
        </is>
      </c>
      <c r="E232" s="21" t="inlineStr">
        <is>
          <t>Telecomunicações</t>
        </is>
      </c>
      <c r="F232" s="21" t="inlineStr">
        <is>
          <t>2025-10</t>
        </is>
      </c>
      <c r="G232" s="21" t="inlineStr">
        <is>
          <t>Itaú CC</t>
        </is>
      </c>
    </row>
    <row r="233">
      <c r="A233" s="21" t="inlineStr">
        <is>
          <t>2025-10-08</t>
        </is>
      </c>
      <c r="B233" s="21" t="inlineStr">
        <is>
          <t>PIX TRANSF CLINICA08/10</t>
        </is>
      </c>
      <c r="C233" s="22" t="n">
        <v>-120</v>
      </c>
      <c r="D233" s="21" t="inlineStr">
        <is>
          <t>saída</t>
        </is>
      </c>
      <c r="E233" s="21" t="inlineStr">
        <is>
          <t>Outros</t>
        </is>
      </c>
      <c r="F233" s="21" t="inlineStr">
        <is>
          <t>2025-10</t>
        </is>
      </c>
      <c r="G233" s="21" t="inlineStr">
        <is>
          <t>Itaú CC</t>
        </is>
      </c>
    </row>
    <row r="234">
      <c r="A234" s="21" t="inlineStr">
        <is>
          <t>2025-10-08</t>
        </is>
      </c>
      <c r="B234" s="21" t="inlineStr">
        <is>
          <t>PIX QRS LOGGI TECNO08/10</t>
        </is>
      </c>
      <c r="C234" s="22" t="n">
        <v>-15.84</v>
      </c>
      <c r="D234" s="21" t="inlineStr">
        <is>
          <t>saída</t>
        </is>
      </c>
      <c r="E234" s="21" t="inlineStr">
        <is>
          <t>Outros</t>
        </is>
      </c>
      <c r="F234" s="21" t="inlineStr">
        <is>
          <t>2025-10</t>
        </is>
      </c>
      <c r="G234" s="21" t="inlineStr">
        <is>
          <t>Itaú CC</t>
        </is>
      </c>
    </row>
    <row r="235">
      <c r="A235" s="21" t="inlineStr">
        <is>
          <t>2025-10-08</t>
        </is>
      </c>
      <c r="B235" s="21" t="inlineStr">
        <is>
          <t>PIX QRS LOGGI TECNO08/10</t>
        </is>
      </c>
      <c r="C235" s="22" t="n">
        <v>-1.2</v>
      </c>
      <c r="D235" s="21" t="inlineStr">
        <is>
          <t>saída</t>
        </is>
      </c>
      <c r="E235" s="21" t="inlineStr">
        <is>
          <t>Outros</t>
        </is>
      </c>
      <c r="F235" s="21" t="inlineStr">
        <is>
          <t>2025-10</t>
        </is>
      </c>
      <c r="G235" s="21" t="inlineStr">
        <is>
          <t>Itaú CC</t>
        </is>
      </c>
    </row>
    <row r="236">
      <c r="A236" s="19" t="inlineStr">
        <is>
          <t>2025-10-07</t>
        </is>
      </c>
      <c r="B236" s="19" t="inlineStr">
        <is>
          <t>PIX TRANSF GABRIEL07/10</t>
        </is>
      </c>
      <c r="C236" s="20" t="n">
        <v>-37.35</v>
      </c>
      <c r="D236" s="19" t="inlineStr">
        <is>
          <t>entrada</t>
        </is>
      </c>
      <c r="E236" s="19" t="inlineStr">
        <is>
          <t>Transferência Gabriel</t>
        </is>
      </c>
      <c r="F236" s="19" t="inlineStr">
        <is>
          <t>2025-10</t>
        </is>
      </c>
      <c r="G236" s="19" t="inlineStr">
        <is>
          <t>Itaú CC</t>
        </is>
      </c>
    </row>
    <row r="237">
      <c r="A237" s="21" t="inlineStr">
        <is>
          <t>2025-10-07</t>
        </is>
      </c>
      <c r="B237" s="21" t="inlineStr">
        <is>
          <t>PAG BOLETO CLUBE PAINEIRAS DO MORUMBY</t>
        </is>
      </c>
      <c r="C237" s="22" t="n">
        <v>-1359.05</v>
      </c>
      <c r="D237" s="21" t="inlineStr">
        <is>
          <t>saída</t>
        </is>
      </c>
      <c r="E237" s="21" t="inlineStr">
        <is>
          <t>Clube Paineiras</t>
        </is>
      </c>
      <c r="F237" s="21" t="inlineStr">
        <is>
          <t>2025-10</t>
        </is>
      </c>
      <c r="G237" s="21" t="inlineStr">
        <is>
          <t>Itaú CC</t>
        </is>
      </c>
    </row>
    <row r="238">
      <c r="A238" s="21" t="inlineStr">
        <is>
          <t>2025-10-07</t>
        </is>
      </c>
      <c r="B238" s="21" t="inlineStr">
        <is>
          <t>PAG BOLETO ESPORTE CLUBE PINHEIROS</t>
        </is>
      </c>
      <c r="C238" s="22" t="n">
        <v>-590</v>
      </c>
      <c r="D238" s="21" t="inlineStr">
        <is>
          <t>saída</t>
        </is>
      </c>
      <c r="E238" s="21" t="inlineStr">
        <is>
          <t>Clube ECP</t>
        </is>
      </c>
      <c r="F238" s="21" t="inlineStr">
        <is>
          <t>2025-10</t>
        </is>
      </c>
      <c r="G238" s="21" t="inlineStr">
        <is>
          <t>Itaú CC</t>
        </is>
      </c>
    </row>
    <row r="239">
      <c r="A239" s="21" t="inlineStr">
        <is>
          <t>2025-10-06</t>
        </is>
      </c>
      <c r="B239" s="21" t="inlineStr">
        <is>
          <t>PIX TRANSF CARLOS 04/10</t>
        </is>
      </c>
      <c r="C239" s="22" t="n">
        <v>-70</v>
      </c>
      <c r="D239" s="21" t="inlineStr">
        <is>
          <t>saída</t>
        </is>
      </c>
      <c r="E239" s="21" t="inlineStr">
        <is>
          <t>Outros</t>
        </is>
      </c>
      <c r="F239" s="21" t="inlineStr">
        <is>
          <t>2025-10</t>
        </is>
      </c>
      <c r="G239" s="21" t="inlineStr">
        <is>
          <t>Itaú CC</t>
        </is>
      </c>
    </row>
    <row r="240">
      <c r="A240" s="21" t="inlineStr">
        <is>
          <t>2025-10-06</t>
        </is>
      </c>
      <c r="B240" s="21" t="inlineStr">
        <is>
          <t>PIX WHATS SHEYLA 05/10</t>
        </is>
      </c>
      <c r="C240" s="22" t="n">
        <v>-150</v>
      </c>
      <c r="D240" s="21" t="inlineStr">
        <is>
          <t>saída</t>
        </is>
      </c>
      <c r="E240" s="21" t="inlineStr">
        <is>
          <t>Outros</t>
        </is>
      </c>
      <c r="F240" s="21" t="inlineStr">
        <is>
          <t>2025-10</t>
        </is>
      </c>
      <c r="G240" s="21" t="inlineStr">
        <is>
          <t>Itaú CC</t>
        </is>
      </c>
    </row>
    <row r="241">
      <c r="A241" s="21" t="inlineStr">
        <is>
          <t>2025-10-06</t>
        </is>
      </c>
      <c r="B241" s="21" t="inlineStr">
        <is>
          <t>PIX TRANSF Carla C05/10</t>
        </is>
      </c>
      <c r="C241" s="22" t="n">
        <v>-600</v>
      </c>
      <c r="D241" s="21" t="inlineStr">
        <is>
          <t>saída</t>
        </is>
      </c>
      <c r="E241" s="21" t="inlineStr">
        <is>
          <t>Outros</t>
        </is>
      </c>
      <c r="F241" s="21" t="inlineStr">
        <is>
          <t>2025-10</t>
        </is>
      </c>
      <c r="G241" s="21" t="inlineStr">
        <is>
          <t>Itaú CC</t>
        </is>
      </c>
    </row>
    <row r="242">
      <c r="A242" s="21" t="inlineStr">
        <is>
          <t>2025-10-06</t>
        </is>
      </c>
      <c r="B242" s="21" t="inlineStr">
        <is>
          <t>PIX TRANSF Nelson 05/10</t>
        </is>
      </c>
      <c r="C242" s="22" t="n">
        <v>-60</v>
      </c>
      <c r="D242" s="21" t="inlineStr">
        <is>
          <t>saída</t>
        </is>
      </c>
      <c r="E242" s="21" t="inlineStr">
        <is>
          <t>Outros</t>
        </is>
      </c>
      <c r="F242" s="21" t="inlineStr">
        <is>
          <t>2025-10</t>
        </is>
      </c>
      <c r="G242" s="21" t="inlineStr">
        <is>
          <t>Itaú CC</t>
        </is>
      </c>
    </row>
    <row r="243">
      <c r="A243" s="21" t="inlineStr">
        <is>
          <t>2025-10-06</t>
        </is>
      </c>
      <c r="B243" s="21" t="inlineStr">
        <is>
          <t>PIX TRANSF GLAUCIA05/10</t>
        </is>
      </c>
      <c r="C243" s="22" t="n">
        <v>-1934</v>
      </c>
      <c r="D243" s="21" t="inlineStr">
        <is>
          <t>saída</t>
        </is>
      </c>
      <c r="E243" s="21" t="inlineStr">
        <is>
          <t>Serviços Domésticos</t>
        </is>
      </c>
      <c r="F243" s="21" t="inlineStr">
        <is>
          <t>2025-10</t>
        </is>
      </c>
      <c r="G243" s="21" t="inlineStr">
        <is>
          <t>Itaú CC</t>
        </is>
      </c>
    </row>
    <row r="244">
      <c r="A244" s="19" t="inlineStr">
        <is>
          <t>2025-10-03</t>
        </is>
      </c>
      <c r="B244" s="19" t="inlineStr">
        <is>
          <t>TED 237.0001.BRADESCO S</t>
        </is>
      </c>
      <c r="C244" s="20" t="n">
        <v>634.54</v>
      </c>
      <c r="D244" s="19" t="inlineStr">
        <is>
          <t>entrada</t>
        </is>
      </c>
      <c r="E244" s="19" t="inlineStr">
        <is>
          <t>Outros</t>
        </is>
      </c>
      <c r="F244" s="19" t="inlineStr">
        <is>
          <t>2025-10</t>
        </is>
      </c>
      <c r="G244" s="19" t="inlineStr">
        <is>
          <t>Itaú CC</t>
        </is>
      </c>
    </row>
    <row r="245">
      <c r="A245" s="21" t="inlineStr">
        <is>
          <t>2025-10-03</t>
        </is>
      </c>
      <c r="B245" s="21" t="inlineStr">
        <is>
          <t>PIX TRANSF NEP COM03/10</t>
        </is>
      </c>
      <c r="C245" s="22" t="n">
        <v>-310</v>
      </c>
      <c r="D245" s="21" t="inlineStr">
        <is>
          <t>saída</t>
        </is>
      </c>
      <c r="E245" s="21" t="inlineStr">
        <is>
          <t>Outros</t>
        </is>
      </c>
      <c r="F245" s="21" t="inlineStr">
        <is>
          <t>2025-10</t>
        </is>
      </c>
      <c r="G245" s="21" t="inlineStr">
        <is>
          <t>Itaú CC</t>
        </is>
      </c>
    </row>
    <row r="246">
      <c r="A246" s="21" t="inlineStr">
        <is>
          <t>2025-10-02</t>
        </is>
      </c>
      <c r="B246" s="21" t="inlineStr">
        <is>
          <t>PIX TRANSF JOELMA 02/10</t>
        </is>
      </c>
      <c r="C246" s="22" t="n">
        <v>-470</v>
      </c>
      <c r="D246" s="21" t="inlineStr">
        <is>
          <t>saída</t>
        </is>
      </c>
      <c r="E246" s="21" t="inlineStr">
        <is>
          <t>Outros</t>
        </is>
      </c>
      <c r="F246" s="21" t="inlineStr">
        <is>
          <t>2025-10</t>
        </is>
      </c>
      <c r="G246" s="21" t="inlineStr">
        <is>
          <t>Itaú CC</t>
        </is>
      </c>
    </row>
    <row r="247">
      <c r="A247" s="19" t="inlineStr">
        <is>
          <t>2025-10-01</t>
        </is>
      </c>
      <c r="B247" s="19" t="inlineStr">
        <is>
          <t>PAGTO EM CONTA CORREN</t>
        </is>
      </c>
      <c r="C247" s="20" t="n">
        <v>7949</v>
      </c>
      <c r="D247" s="19" t="inlineStr">
        <is>
          <t>entrada</t>
        </is>
      </c>
      <c r="E247" s="19" t="inlineStr">
        <is>
          <t>Dividendos Nord</t>
        </is>
      </c>
      <c r="F247" s="19" t="inlineStr">
        <is>
          <t>2025-10</t>
        </is>
      </c>
      <c r="G247" s="19" t="inlineStr">
        <is>
          <t>Itaú CC</t>
        </is>
      </c>
    </row>
    <row r="248">
      <c r="A248" s="21" t="inlineStr">
        <is>
          <t>2025-10-01</t>
        </is>
      </c>
      <c r="B248" s="21" t="inlineStr">
        <is>
          <t>PIX TRANSF DMW CON01/10</t>
        </is>
      </c>
      <c r="C248" s="22" t="n">
        <v>-405</v>
      </c>
      <c r="D248" s="21" t="inlineStr">
        <is>
          <t>saída</t>
        </is>
      </c>
      <c r="E248" s="21" t="inlineStr">
        <is>
          <t>Contabilidade</t>
        </is>
      </c>
      <c r="F248" s="21" t="inlineStr">
        <is>
          <t>2025-10</t>
        </is>
      </c>
      <c r="G248" s="21" t="inlineStr">
        <is>
          <t>Itaú CC</t>
        </is>
      </c>
    </row>
    <row r="249">
      <c r="A249" s="21" t="inlineStr">
        <is>
          <t>2025-10-01</t>
        </is>
      </c>
      <c r="B249" s="21" t="inlineStr">
        <is>
          <t>PIX TRANSF RENATO 01/10</t>
        </is>
      </c>
      <c r="C249" s="22" t="n">
        <v>-38050</v>
      </c>
      <c r="D249" s="21" t="inlineStr">
        <is>
          <t>saída</t>
        </is>
      </c>
      <c r="E249" s="21" t="inlineStr">
        <is>
          <t>Transferência Própria</t>
        </is>
      </c>
      <c r="F249" s="21" t="inlineStr">
        <is>
          <t>2025-10</t>
        </is>
      </c>
      <c r="G249" s="21" t="inlineStr">
        <is>
          <t>Itaú CC</t>
        </is>
      </c>
    </row>
    <row r="250">
      <c r="A250" s="21" t="inlineStr">
        <is>
          <t>2025-09-30</t>
        </is>
      </c>
      <c r="B250" s="21" t="inlineStr">
        <is>
          <t>PIX TRANSF LR - PR30/09</t>
        </is>
      </c>
      <c r="C250" s="22" t="n">
        <v>-1150</v>
      </c>
      <c r="D250" s="21" t="inlineStr">
        <is>
          <t>saída</t>
        </is>
      </c>
      <c r="E250" s="21" t="inlineStr">
        <is>
          <t>⚠ LR-PR</t>
        </is>
      </c>
      <c r="F250" s="21" t="inlineStr">
        <is>
          <t>2025-09</t>
        </is>
      </c>
      <c r="G250" s="21" t="inlineStr">
        <is>
          <t>Itaú CC</t>
        </is>
      </c>
    </row>
    <row r="251">
      <c r="A251" s="19" t="inlineStr">
        <is>
          <t>2025-09-29</t>
        </is>
      </c>
      <c r="B251" s="19" t="inlineStr">
        <is>
          <t>PAGTO SALARIO</t>
        </is>
      </c>
      <c r="C251" s="20" t="n">
        <v>1351.02</v>
      </c>
      <c r="D251" s="19" t="inlineStr">
        <is>
          <t>entrada</t>
        </is>
      </c>
      <c r="E251" s="19" t="inlineStr">
        <is>
          <t>Salário</t>
        </is>
      </c>
      <c r="F251" s="19" t="inlineStr">
        <is>
          <t>2025-09</t>
        </is>
      </c>
      <c r="G251" s="19" t="inlineStr">
        <is>
          <t>Itaú CC</t>
        </is>
      </c>
    </row>
    <row r="252">
      <c r="A252" s="21" t="inlineStr">
        <is>
          <t>2025-09-29</t>
        </is>
      </c>
      <c r="B252" s="21" t="inlineStr">
        <is>
          <t>PIX TRANSF FERNAND29/09</t>
        </is>
      </c>
      <c r="C252" s="22" t="n">
        <v>-11800</v>
      </c>
      <c r="D252" s="21" t="inlineStr">
        <is>
          <t>saída</t>
        </is>
      </c>
      <c r="E252" s="21" t="inlineStr">
        <is>
          <t>Aluguel</t>
        </is>
      </c>
      <c r="F252" s="21" t="inlineStr">
        <is>
          <t>2025-09</t>
        </is>
      </c>
      <c r="G252" s="21" t="inlineStr">
        <is>
          <t>Itaú CC</t>
        </is>
      </c>
    </row>
    <row r="253">
      <c r="A253" s="21" t="inlineStr">
        <is>
          <t>2025-09-29</t>
        </is>
      </c>
      <c r="B253" s="21" t="inlineStr">
        <is>
          <t>PIX TRANSF Arlindo29/09</t>
        </is>
      </c>
      <c r="C253" s="22" t="n">
        <v>-45</v>
      </c>
      <c r="D253" s="21" t="inlineStr">
        <is>
          <t>saída</t>
        </is>
      </c>
      <c r="E253" s="21" t="inlineStr">
        <is>
          <t>Outros</t>
        </is>
      </c>
      <c r="F253" s="21" t="inlineStr">
        <is>
          <t>2025-09</t>
        </is>
      </c>
      <c r="G253" s="21" t="inlineStr">
        <is>
          <t>Itaú CC</t>
        </is>
      </c>
    </row>
    <row r="254">
      <c r="A254" s="19" t="inlineStr">
        <is>
          <t>2025-09-29</t>
        </is>
      </c>
      <c r="B254" s="19" t="inlineStr">
        <is>
          <t>PAGTO EM CONTA CORRENTE</t>
        </is>
      </c>
      <c r="C254" s="20" t="n">
        <v>51993.86</v>
      </c>
      <c r="D254" s="19" t="inlineStr">
        <is>
          <t>entrada</t>
        </is>
      </c>
      <c r="E254" s="19" t="inlineStr">
        <is>
          <t>Dividendos Nord</t>
        </is>
      </c>
      <c r="F254" s="19" t="inlineStr">
        <is>
          <t>2025-09</t>
        </is>
      </c>
      <c r="G254" s="19" t="inlineStr">
        <is>
          <t>Itaú CC</t>
        </is>
      </c>
    </row>
    <row r="255">
      <c r="A255" s="21" t="inlineStr">
        <is>
          <t>2025-09-26</t>
        </is>
      </c>
      <c r="B255" s="21" t="inlineStr">
        <is>
          <t>PIX TRANSF SUSHI V26/09</t>
        </is>
      </c>
      <c r="C255" s="22" t="n">
        <v>-100</v>
      </c>
      <c r="D255" s="21" t="inlineStr">
        <is>
          <t>saída</t>
        </is>
      </c>
      <c r="E255" s="21" t="inlineStr">
        <is>
          <t>Outros</t>
        </is>
      </c>
      <c r="F255" s="21" t="inlineStr">
        <is>
          <t>2025-09</t>
        </is>
      </c>
      <c r="G255" s="21" t="inlineStr">
        <is>
          <t>Itaú CC</t>
        </is>
      </c>
    </row>
    <row r="256">
      <c r="A256" s="21" t="inlineStr">
        <is>
          <t>2025-09-26</t>
        </is>
      </c>
      <c r="B256" s="21" t="inlineStr">
        <is>
          <t>PIX QRS Casar.Com S26/09</t>
        </is>
      </c>
      <c r="C256" s="22" t="n">
        <v>-899.91</v>
      </c>
      <c r="D256" s="21" t="inlineStr">
        <is>
          <t>saída</t>
        </is>
      </c>
      <c r="E256" s="21" t="inlineStr">
        <is>
          <t>Outros</t>
        </is>
      </c>
      <c r="F256" s="21" t="inlineStr">
        <is>
          <t>2025-09</t>
        </is>
      </c>
      <c r="G256" s="21" t="inlineStr">
        <is>
          <t>Itaú CC</t>
        </is>
      </c>
    </row>
    <row r="257">
      <c r="A257" s="21" t="inlineStr">
        <is>
          <t>2025-09-26</t>
        </is>
      </c>
      <c r="B257" s="21" t="inlineStr">
        <is>
          <t>PIX TRANSF CLINICA26/09</t>
        </is>
      </c>
      <c r="C257" s="22" t="n">
        <v>-1200</v>
      </c>
      <c r="D257" s="21" t="inlineStr">
        <is>
          <t>saída</t>
        </is>
      </c>
      <c r="E257" s="21" t="inlineStr">
        <is>
          <t>Outros</t>
        </is>
      </c>
      <c r="F257" s="21" t="inlineStr">
        <is>
          <t>2025-09</t>
        </is>
      </c>
      <c r="G257" s="21" t="inlineStr">
        <is>
          <t>Itaú CC</t>
        </is>
      </c>
    </row>
    <row r="258">
      <c r="A258" s="21" t="inlineStr">
        <is>
          <t>2025-09-23</t>
        </is>
      </c>
      <c r="B258" s="21" t="inlineStr">
        <is>
          <t>PIX TRANSF DANILO 23/09</t>
        </is>
      </c>
      <c r="C258" s="22" t="n">
        <v>-4900</v>
      </c>
      <c r="D258" s="21" t="inlineStr">
        <is>
          <t>saída</t>
        </is>
      </c>
      <c r="E258" s="21" t="inlineStr">
        <is>
          <t>Outros</t>
        </is>
      </c>
      <c r="F258" s="21" t="inlineStr">
        <is>
          <t>2025-09</t>
        </is>
      </c>
      <c r="G258" s="21" t="inlineStr">
        <is>
          <t>Itaú CC</t>
        </is>
      </c>
    </row>
    <row r="259">
      <c r="A259" s="21" t="inlineStr">
        <is>
          <t>2025-09-19</t>
        </is>
      </c>
      <c r="B259" s="21" t="inlineStr">
        <is>
          <t>PIX TRANSF GLAUCIA19/09</t>
        </is>
      </c>
      <c r="C259" s="22" t="n">
        <v>-2057</v>
      </c>
      <c r="D259" s="21" t="inlineStr">
        <is>
          <t>saída</t>
        </is>
      </c>
      <c r="E259" s="21" t="inlineStr">
        <is>
          <t>Serviços Domésticos</t>
        </is>
      </c>
      <c r="F259" s="21" t="inlineStr">
        <is>
          <t>2025-09</t>
        </is>
      </c>
      <c r="G259" s="21" t="inlineStr">
        <is>
          <t>Itaú CC</t>
        </is>
      </c>
    </row>
    <row r="260">
      <c r="A260" s="21" t="inlineStr">
        <is>
          <t>2025-09-19</t>
        </is>
      </c>
      <c r="B260" s="21" t="inlineStr">
        <is>
          <t>PIX TRANSF FILIPE 19/09</t>
        </is>
      </c>
      <c r="C260" s="22" t="n">
        <v>-50</v>
      </c>
      <c r="D260" s="21" t="inlineStr">
        <is>
          <t>saída</t>
        </is>
      </c>
      <c r="E260" s="21" t="inlineStr">
        <is>
          <t>Outros</t>
        </is>
      </c>
      <c r="F260" s="21" t="inlineStr">
        <is>
          <t>2025-09</t>
        </is>
      </c>
      <c r="G260" s="21" t="inlineStr">
        <is>
          <t>Itaú CC</t>
        </is>
      </c>
    </row>
    <row r="261">
      <c r="A261" s="21" t="inlineStr">
        <is>
          <t>2025-09-18</t>
        </is>
      </c>
      <c r="B261" s="21" t="inlineStr">
        <is>
          <t>PIX TRANSF Richard18/09</t>
        </is>
      </c>
      <c r="C261" s="22" t="n">
        <v>-50</v>
      </c>
      <c r="D261" s="21" t="inlineStr">
        <is>
          <t>saída</t>
        </is>
      </c>
      <c r="E261" s="21" t="inlineStr">
        <is>
          <t>Outros</t>
        </is>
      </c>
      <c r="F261" s="21" t="inlineStr">
        <is>
          <t>2025-09</t>
        </is>
      </c>
      <c r="G261" s="21" t="inlineStr">
        <is>
          <t>Itaú CC</t>
        </is>
      </c>
    </row>
    <row r="262">
      <c r="A262" s="19" t="inlineStr">
        <is>
          <t>2025-09-17</t>
        </is>
      </c>
      <c r="B262" s="19" t="inlineStr">
        <is>
          <t>RESGATE CDB DI</t>
        </is>
      </c>
      <c r="C262" s="20" t="n">
        <v>18001.01</v>
      </c>
      <c r="D262" s="19" t="inlineStr">
        <is>
          <t>entrada</t>
        </is>
      </c>
      <c r="E262" s="19" t="inlineStr">
        <is>
          <t>Resgate CDB</t>
        </is>
      </c>
      <c r="F262" s="19" t="inlineStr">
        <is>
          <t>2025-09</t>
        </is>
      </c>
      <c r="G262" s="19" t="inlineStr">
        <is>
          <t>Itaú CC</t>
        </is>
      </c>
    </row>
    <row r="263">
      <c r="A263" s="21" t="inlineStr">
        <is>
          <t>2025-09-17</t>
        </is>
      </c>
      <c r="B263" s="21" t="inlineStr">
        <is>
          <t>INT AZUL VISA</t>
        </is>
      </c>
      <c r="C263" s="22" t="n">
        <v>-10329.54</v>
      </c>
      <c r="D263" s="21" t="inlineStr">
        <is>
          <t>saída</t>
        </is>
      </c>
      <c r="E263" s="21" t="inlineStr">
        <is>
          <t>Fatura Cartão Azul</t>
        </is>
      </c>
      <c r="F263" s="21" t="inlineStr">
        <is>
          <t>2025-09</t>
        </is>
      </c>
      <c r="G263" s="21" t="inlineStr">
        <is>
          <t>Itaú CC</t>
        </is>
      </c>
    </row>
    <row r="264">
      <c r="A264" s="21" t="inlineStr">
        <is>
          <t>2025-09-17</t>
        </is>
      </c>
      <c r="B264" s="21" t="inlineStr">
        <is>
          <t>PERS BLACK 3609-3051</t>
        </is>
      </c>
      <c r="C264" s="22" t="n">
        <v>-8177.02</v>
      </c>
      <c r="D264" s="21" t="inlineStr">
        <is>
          <t>saída</t>
        </is>
      </c>
      <c r="E264" s="21" t="inlineStr">
        <is>
          <t>Fatura Cartão Itaú</t>
        </is>
      </c>
      <c r="F264" s="21" t="inlineStr">
        <is>
          <t>2025-09</t>
        </is>
      </c>
      <c r="G264" s="21" t="inlineStr">
        <is>
          <t>Itaú CC</t>
        </is>
      </c>
    </row>
    <row r="265">
      <c r="A265" s="21" t="inlineStr">
        <is>
          <t>2025-09-15</t>
        </is>
      </c>
      <c r="B265" s="21" t="inlineStr">
        <is>
          <t>PIX QRS HORTUS COME14/09</t>
        </is>
      </c>
      <c r="C265" s="22" t="n">
        <v>-205.15</v>
      </c>
      <c r="D265" s="21" t="inlineStr">
        <is>
          <t>saída</t>
        </is>
      </c>
      <c r="E265" s="21" t="inlineStr">
        <is>
          <t>Alimentação</t>
        </is>
      </c>
      <c r="F265" s="21" t="inlineStr">
        <is>
          <t>2025-09</t>
        </is>
      </c>
      <c r="G265" s="21" t="inlineStr">
        <is>
          <t>Itaú CC</t>
        </is>
      </c>
    </row>
    <row r="266">
      <c r="A266" s="21" t="inlineStr">
        <is>
          <t>2025-09-12</t>
        </is>
      </c>
      <c r="B266" s="21" t="inlineStr">
        <is>
          <t>PIX QRS Casar.Com S12/09</t>
        </is>
      </c>
      <c r="C266" s="22" t="n">
        <v>-1139.9</v>
      </c>
      <c r="D266" s="21" t="inlineStr">
        <is>
          <t>saída</t>
        </is>
      </c>
      <c r="E266" s="21" t="inlineStr">
        <is>
          <t>Outros</t>
        </is>
      </c>
      <c r="F266" s="21" t="inlineStr">
        <is>
          <t>2025-09</t>
        </is>
      </c>
      <c r="G266" s="21" t="inlineStr">
        <is>
          <t>Itaú CC</t>
        </is>
      </c>
    </row>
    <row r="267">
      <c r="A267" s="21" t="inlineStr">
        <is>
          <t>2025-09-12</t>
        </is>
      </c>
      <c r="B267" s="21" t="inlineStr">
        <is>
          <t>PIX QRS APPMAX12/09</t>
        </is>
      </c>
      <c r="C267" s="22" t="n">
        <v>-191.2</v>
      </c>
      <c r="D267" s="21" t="inlineStr">
        <is>
          <t>saída</t>
        </is>
      </c>
      <c r="E267" s="21" t="inlineStr">
        <is>
          <t>Outros</t>
        </is>
      </c>
      <c r="F267" s="21" t="inlineStr">
        <is>
          <t>2025-09</t>
        </is>
      </c>
      <c r="G267" s="21" t="inlineStr">
        <is>
          <t>Itaú CC</t>
        </is>
      </c>
    </row>
    <row r="268">
      <c r="A268" s="21" t="inlineStr">
        <is>
          <t>2025-09-11</t>
        </is>
      </c>
      <c r="B268" s="21" t="inlineStr">
        <is>
          <t>PIX TRANSF MARIA A11/09</t>
        </is>
      </c>
      <c r="C268" s="22" t="n">
        <v>-130</v>
      </c>
      <c r="D268" s="21" t="inlineStr">
        <is>
          <t>saída</t>
        </is>
      </c>
      <c r="E268" s="21" t="inlineStr">
        <is>
          <t>Outros</t>
        </is>
      </c>
      <c r="F268" s="21" t="inlineStr">
        <is>
          <t>2025-09</t>
        </is>
      </c>
      <c r="G268" s="21" t="inlineStr">
        <is>
          <t>Itaú CC</t>
        </is>
      </c>
    </row>
    <row r="269">
      <c r="A269" s="21" t="inlineStr">
        <is>
          <t>2025-09-10</t>
        </is>
      </c>
      <c r="B269" s="21" t="inlineStr">
        <is>
          <t>PAG TIT INT 237</t>
        </is>
      </c>
      <c r="C269" s="22" t="n">
        <v>-590</v>
      </c>
      <c r="D269" s="21" t="inlineStr">
        <is>
          <t>saída</t>
        </is>
      </c>
      <c r="E269" s="21" t="inlineStr">
        <is>
          <t>Fatura Cartão</t>
        </is>
      </c>
      <c r="F269" s="21" t="inlineStr">
        <is>
          <t>2025-09</t>
        </is>
      </c>
      <c r="G269" s="21" t="inlineStr">
        <is>
          <t>Itaú CC</t>
        </is>
      </c>
    </row>
    <row r="270">
      <c r="A270" s="19" t="inlineStr">
        <is>
          <t>2025-09-10</t>
        </is>
      </c>
      <c r="B270" s="19" t="inlineStr">
        <is>
          <t>PIX TRANSF TRANSFE10/09</t>
        </is>
      </c>
      <c r="C270" s="20" t="n">
        <v>12533.98</v>
      </c>
      <c r="D270" s="19" t="inlineStr">
        <is>
          <t>entrada</t>
        </is>
      </c>
      <c r="E270" s="19" t="inlineStr">
        <is>
          <t>Outros</t>
        </is>
      </c>
      <c r="F270" s="19" t="inlineStr">
        <is>
          <t>2025-09</t>
        </is>
      </c>
      <c r="G270" s="19" t="inlineStr">
        <is>
          <t>Itaú CC</t>
        </is>
      </c>
    </row>
    <row r="271">
      <c r="A271" s="21" t="inlineStr">
        <is>
          <t>2025-09-10</t>
        </is>
      </c>
      <c r="B271" s="21" t="inlineStr">
        <is>
          <t>PIX TRANSF NICHOLA10/09</t>
        </is>
      </c>
      <c r="C271" s="22" t="n">
        <v>-350</v>
      </c>
      <c r="D271" s="21" t="inlineStr">
        <is>
          <t>saída</t>
        </is>
      </c>
      <c r="E271" s="21" t="inlineStr">
        <is>
          <t>Outros</t>
        </is>
      </c>
      <c r="F271" s="21" t="inlineStr">
        <is>
          <t>2025-09</t>
        </is>
      </c>
      <c r="G271" s="21" t="inlineStr">
        <is>
          <t>Itaú CC</t>
        </is>
      </c>
    </row>
    <row r="272">
      <c r="A272" s="21" t="inlineStr">
        <is>
          <t>2025-09-10</t>
        </is>
      </c>
      <c r="B272" s="21" t="inlineStr">
        <is>
          <t>DA VIVO-SP 11192739056</t>
        </is>
      </c>
      <c r="C272" s="22" t="n">
        <v>-295.99</v>
      </c>
      <c r="D272" s="21" t="inlineStr">
        <is>
          <t>saída</t>
        </is>
      </c>
      <c r="E272" s="21" t="inlineStr">
        <is>
          <t>Telecomunicações</t>
        </is>
      </c>
      <c r="F272" s="21" t="inlineStr">
        <is>
          <t>2025-09</t>
        </is>
      </c>
      <c r="G272" s="21" t="inlineStr">
        <is>
          <t>Itaú CC</t>
        </is>
      </c>
    </row>
    <row r="273">
      <c r="A273" s="21" t="inlineStr">
        <is>
          <t>2025-09-10</t>
        </is>
      </c>
      <c r="B273" s="21" t="inlineStr">
        <is>
          <t>DA CLARO RESID 53719250</t>
        </is>
      </c>
      <c r="C273" s="22" t="n">
        <v>-282.58</v>
      </c>
      <c r="D273" s="21" t="inlineStr">
        <is>
          <t>saída</t>
        </is>
      </c>
      <c r="E273" s="21" t="inlineStr">
        <is>
          <t>Telecomunicações</t>
        </is>
      </c>
      <c r="F273" s="21" t="inlineStr">
        <is>
          <t>2025-09</t>
        </is>
      </c>
      <c r="G273" s="21" t="inlineStr">
        <is>
          <t>Itaú CC</t>
        </is>
      </c>
    </row>
    <row r="274">
      <c r="A274" s="21" t="inlineStr">
        <is>
          <t>2025-09-09</t>
        </is>
      </c>
      <c r="B274" s="21" t="inlineStr">
        <is>
          <t>PIX TRANSF SHEYLA 09/09</t>
        </is>
      </c>
      <c r="C274" s="22" t="n">
        <v>-65</v>
      </c>
      <c r="D274" s="21" t="inlineStr">
        <is>
          <t>saída</t>
        </is>
      </c>
      <c r="E274" s="21" t="inlineStr">
        <is>
          <t>Outros</t>
        </is>
      </c>
      <c r="F274" s="21" t="inlineStr">
        <is>
          <t>2025-09</t>
        </is>
      </c>
      <c r="G274" s="21" t="inlineStr">
        <is>
          <t>Itaú CC</t>
        </is>
      </c>
    </row>
    <row r="275">
      <c r="A275" s="21" t="inlineStr">
        <is>
          <t>2025-09-08</t>
        </is>
      </c>
      <c r="B275" s="21" t="inlineStr">
        <is>
          <t>PIX TRANSF TRANSFE06/09</t>
        </is>
      </c>
      <c r="C275" s="22" t="n">
        <v>-500</v>
      </c>
      <c r="D275" s="21" t="inlineStr">
        <is>
          <t>saída</t>
        </is>
      </c>
      <c r="E275" s="21" t="inlineStr">
        <is>
          <t>Outros</t>
        </is>
      </c>
      <c r="F275" s="21" t="inlineStr">
        <is>
          <t>2025-09</t>
        </is>
      </c>
      <c r="G275" s="21" t="inlineStr">
        <is>
          <t>Itaú CC</t>
        </is>
      </c>
    </row>
    <row r="276">
      <c r="A276" s="21" t="inlineStr">
        <is>
          <t>2025-09-08</t>
        </is>
      </c>
      <c r="B276" s="21" t="inlineStr">
        <is>
          <t>PIX TRANSF Kena Br08/09</t>
        </is>
      </c>
      <c r="C276" s="22" t="n">
        <v>-20</v>
      </c>
      <c r="D276" s="21" t="inlineStr">
        <is>
          <t>saída</t>
        </is>
      </c>
      <c r="E276" s="21" t="inlineStr">
        <is>
          <t>Outros</t>
        </is>
      </c>
      <c r="F276" s="21" t="inlineStr">
        <is>
          <t>2025-09</t>
        </is>
      </c>
      <c r="G276" s="21" t="inlineStr">
        <is>
          <t>Itaú CC</t>
        </is>
      </c>
    </row>
    <row r="277">
      <c r="A277" s="21" t="inlineStr">
        <is>
          <t>2025-09-08</t>
        </is>
      </c>
      <c r="B277" s="21" t="inlineStr">
        <is>
          <t>PIX TRANSF EDMILSO08/09</t>
        </is>
      </c>
      <c r="C277" s="22" t="n">
        <v>-500</v>
      </c>
      <c r="D277" s="21" t="inlineStr">
        <is>
          <t>saída</t>
        </is>
      </c>
      <c r="E277" s="21" t="inlineStr">
        <is>
          <t>Outros</t>
        </is>
      </c>
      <c r="F277" s="21" t="inlineStr">
        <is>
          <t>2025-09</t>
        </is>
      </c>
      <c r="G277" s="21" t="inlineStr">
        <is>
          <t>Itaú CC</t>
        </is>
      </c>
    </row>
    <row r="278">
      <c r="A278" s="21" t="inlineStr">
        <is>
          <t>2025-09-08</t>
        </is>
      </c>
      <c r="B278" s="21" t="inlineStr">
        <is>
          <t>PIX TRANSF SHEYLA 08/09</t>
        </is>
      </c>
      <c r="C278" s="22" t="n">
        <v>-250</v>
      </c>
      <c r="D278" s="21" t="inlineStr">
        <is>
          <t>saída</t>
        </is>
      </c>
      <c r="E278" s="21" t="inlineStr">
        <is>
          <t>Outros</t>
        </is>
      </c>
      <c r="F278" s="21" t="inlineStr">
        <is>
          <t>2025-09</t>
        </is>
      </c>
      <c r="G278" s="21" t="inlineStr">
        <is>
          <t>Itaú CC</t>
        </is>
      </c>
    </row>
    <row r="279">
      <c r="A279" s="21" t="inlineStr">
        <is>
          <t>2025-09-08</t>
        </is>
      </c>
      <c r="B279" s="21" t="inlineStr">
        <is>
          <t>PIX TRANSF ARNALDO08/09</t>
        </is>
      </c>
      <c r="C279" s="22" t="n">
        <v>-70</v>
      </c>
      <c r="D279" s="21" t="inlineStr">
        <is>
          <t>saída</t>
        </is>
      </c>
      <c r="E279" s="21" t="inlineStr">
        <is>
          <t>Outros</t>
        </is>
      </c>
      <c r="F279" s="21" t="inlineStr">
        <is>
          <t>2025-09</t>
        </is>
      </c>
      <c r="G279" s="21" t="inlineStr">
        <is>
          <t>Itaú CC</t>
        </is>
      </c>
    </row>
    <row r="280">
      <c r="A280" s="21" t="inlineStr">
        <is>
          <t>2025-09-04</t>
        </is>
      </c>
      <c r="B280" s="21" t="inlineStr">
        <is>
          <t>INT /SIMPLES NACIONA 072</t>
        </is>
      </c>
      <c r="C280" s="22" t="n">
        <v>-2281.86</v>
      </c>
      <c r="D280" s="21" t="inlineStr">
        <is>
          <t>saída</t>
        </is>
      </c>
      <c r="E280" s="21" t="inlineStr">
        <is>
          <t>Outros</t>
        </is>
      </c>
      <c r="F280" s="21" t="inlineStr">
        <is>
          <t>2025-09</t>
        </is>
      </c>
      <c r="G280" s="21" t="inlineStr">
        <is>
          <t>Itaú CC</t>
        </is>
      </c>
    </row>
    <row r="281">
      <c r="A281" s="21" t="inlineStr">
        <is>
          <t>2025-09-04</t>
        </is>
      </c>
      <c r="B281" s="21" t="inlineStr">
        <is>
          <t>PAG BOLETO CLUBE PAINEIRAS DO MORUMBY</t>
        </is>
      </c>
      <c r="C281" s="22" t="n">
        <v>-1304.05</v>
      </c>
      <c r="D281" s="21" t="inlineStr">
        <is>
          <t>saída</t>
        </is>
      </c>
      <c r="E281" s="21" t="inlineStr">
        <is>
          <t>Clube Paineiras</t>
        </is>
      </c>
      <c r="F281" s="21" t="inlineStr">
        <is>
          <t>2025-09</t>
        </is>
      </c>
      <c r="G281" s="21" t="inlineStr">
        <is>
          <t>Itaú CC</t>
        </is>
      </c>
    </row>
    <row r="282">
      <c r="A282" s="21" t="inlineStr">
        <is>
          <t>2025-09-01</t>
        </is>
      </c>
      <c r="B282" s="21" t="inlineStr">
        <is>
          <t>PIX TRANSF DMW CON31/08</t>
        </is>
      </c>
      <c r="C282" s="22" t="n">
        <v>-405</v>
      </c>
      <c r="D282" s="21" t="inlineStr">
        <is>
          <t>saída</t>
        </is>
      </c>
      <c r="E282" s="21" t="inlineStr">
        <is>
          <t>Contabilidade</t>
        </is>
      </c>
      <c r="F282" s="21" t="inlineStr">
        <is>
          <t>2025-09</t>
        </is>
      </c>
      <c r="G282" s="21" t="inlineStr">
        <is>
          <t>Itaú CC</t>
        </is>
      </c>
    </row>
    <row r="283">
      <c r="A283" s="21" t="inlineStr">
        <is>
          <t>2025-09-01</t>
        </is>
      </c>
      <c r="B283" s="21" t="inlineStr">
        <is>
          <t>PIX TRANSF RENATO 31/08</t>
        </is>
      </c>
      <c r="C283" s="22" t="n">
        <v>-40000</v>
      </c>
      <c r="D283" s="21" t="inlineStr">
        <is>
          <t>saída</t>
        </is>
      </c>
      <c r="E283" s="21" t="inlineStr">
        <is>
          <t>Transferência Própria</t>
        </is>
      </c>
      <c r="F283" s="21" t="inlineStr">
        <is>
          <t>2025-09</t>
        </is>
      </c>
      <c r="G283" s="21" t="inlineStr">
        <is>
          <t>Itaú CC</t>
        </is>
      </c>
    </row>
    <row r="284">
      <c r="A284" s="19" t="inlineStr">
        <is>
          <t>2025-09-01</t>
        </is>
      </c>
      <c r="B284" s="19" t="inlineStr">
        <is>
          <t>RESGATE CDB DI</t>
        </is>
      </c>
      <c r="C284" s="20" t="n">
        <v>12000.56</v>
      </c>
      <c r="D284" s="19" t="inlineStr">
        <is>
          <t>entrada</t>
        </is>
      </c>
      <c r="E284" s="19" t="inlineStr">
        <is>
          <t>Resgate CDB</t>
        </is>
      </c>
      <c r="F284" s="19" t="inlineStr">
        <is>
          <t>2025-09</t>
        </is>
      </c>
      <c r="G284" s="19" t="inlineStr">
        <is>
          <t>Itaú CC</t>
        </is>
      </c>
    </row>
    <row r="285">
      <c r="A285" s="21" t="inlineStr">
        <is>
          <t>2025-09-01</t>
        </is>
      </c>
      <c r="B285" s="21" t="inlineStr">
        <is>
          <t>PIX TRANSF Renato 31/08</t>
        </is>
      </c>
      <c r="C285" s="22" t="n">
        <v>-12000</v>
      </c>
      <c r="D285" s="21" t="inlineStr">
        <is>
          <t>saída</t>
        </is>
      </c>
      <c r="E285" s="21" t="inlineStr">
        <is>
          <t>Transferência Própria</t>
        </is>
      </c>
      <c r="F285" s="21" t="inlineStr">
        <is>
          <t>2025-09</t>
        </is>
      </c>
      <c r="G285" s="21" t="inlineStr">
        <is>
          <t>Itaú CC</t>
        </is>
      </c>
    </row>
    <row r="286">
      <c r="A286" s="19" t="inlineStr">
        <is>
          <t>2025-09-01</t>
        </is>
      </c>
      <c r="B286" s="19" t="inlineStr">
        <is>
          <t>RESGATE CDB DI</t>
        </is>
      </c>
      <c r="C286" s="20" t="n">
        <v>50000.06</v>
      </c>
      <c r="D286" s="19" t="inlineStr">
        <is>
          <t>entrada</t>
        </is>
      </c>
      <c r="E286" s="19" t="inlineStr">
        <is>
          <t>Resgate CDB</t>
        </is>
      </c>
      <c r="F286" s="19" t="inlineStr">
        <is>
          <t>2025-09</t>
        </is>
      </c>
      <c r="G286" s="19" t="inlineStr">
        <is>
          <t>Itaú CC</t>
        </is>
      </c>
    </row>
    <row r="287">
      <c r="A287" s="21" t="inlineStr">
        <is>
          <t>2025-09-01</t>
        </is>
      </c>
      <c r="B287" s="21" t="inlineStr">
        <is>
          <t>PIX TRANSF RENATO 01/09</t>
        </is>
      </c>
      <c r="C287" s="22" t="n">
        <v>-44500</v>
      </c>
      <c r="D287" s="21" t="inlineStr">
        <is>
          <t>saída</t>
        </is>
      </c>
      <c r="E287" s="21" t="inlineStr">
        <is>
          <t>Transferência Própria</t>
        </is>
      </c>
      <c r="F287" s="21" t="inlineStr">
        <is>
          <t>2025-09</t>
        </is>
      </c>
      <c r="G287" s="21" t="inlineStr">
        <is>
          <t>Itaú CC</t>
        </is>
      </c>
    </row>
    <row r="288">
      <c r="A288" s="21" t="inlineStr">
        <is>
          <t>2025-09-01</t>
        </is>
      </c>
      <c r="B288" s="21" t="inlineStr">
        <is>
          <t>PIX TRANSF CARLOS 01/09</t>
        </is>
      </c>
      <c r="C288" s="22" t="n">
        <v>-140</v>
      </c>
      <c r="D288" s="21" t="inlineStr">
        <is>
          <t>saída</t>
        </is>
      </c>
      <c r="E288" s="21" t="inlineStr">
        <is>
          <t>Outros</t>
        </is>
      </c>
      <c r="F288" s="21" t="inlineStr">
        <is>
          <t>2025-09</t>
        </is>
      </c>
      <c r="G288" s="21" t="inlineStr">
        <is>
          <t>Itaú CC</t>
        </is>
      </c>
    </row>
    <row r="289">
      <c r="A289" s="21" t="inlineStr">
        <is>
          <t>2025-08-29</t>
        </is>
      </c>
      <c r="B289" s="21" t="inlineStr">
        <is>
          <t>PIX TRANSF LR - PR29/08</t>
        </is>
      </c>
      <c r="C289" s="22" t="n">
        <v>-920</v>
      </c>
      <c r="D289" s="21" t="inlineStr">
        <is>
          <t>saída</t>
        </is>
      </c>
      <c r="E289" s="21" t="inlineStr">
        <is>
          <t>⚠ LR-PR</t>
        </is>
      </c>
      <c r="F289" s="21" t="inlineStr">
        <is>
          <t>2025-08</t>
        </is>
      </c>
      <c r="G289" s="21" t="inlineStr">
        <is>
          <t>Itaú CC</t>
        </is>
      </c>
    </row>
    <row r="290">
      <c r="A290" s="21" t="inlineStr">
        <is>
          <t>2025-08-29</t>
        </is>
      </c>
      <c r="B290" s="21" t="inlineStr">
        <is>
          <t>PIX TRANSF FERNAND29/08</t>
        </is>
      </c>
      <c r="C290" s="22" t="n">
        <v>-11800</v>
      </c>
      <c r="D290" s="21" t="inlineStr">
        <is>
          <t>saída</t>
        </is>
      </c>
      <c r="E290" s="21" t="inlineStr">
        <is>
          <t>Aluguel</t>
        </is>
      </c>
      <c r="F290" s="21" t="inlineStr">
        <is>
          <t>2025-08</t>
        </is>
      </c>
      <c r="G290" s="21" t="inlineStr">
        <is>
          <t>Itaú CC</t>
        </is>
      </c>
    </row>
    <row r="291">
      <c r="A291" s="19" t="inlineStr">
        <is>
          <t>2025-08-28</t>
        </is>
      </c>
      <c r="B291" s="19" t="inlineStr">
        <is>
          <t>PAGTO SALARIO</t>
        </is>
      </c>
      <c r="C291" s="20" t="n">
        <v>1351.02</v>
      </c>
      <c r="D291" s="19" t="inlineStr">
        <is>
          <t>entrada</t>
        </is>
      </c>
      <c r="E291" s="19" t="inlineStr">
        <is>
          <t>Salário</t>
        </is>
      </c>
      <c r="F291" s="19" t="inlineStr">
        <is>
          <t>2025-08</t>
        </is>
      </c>
      <c r="G291" s="19" t="inlineStr">
        <is>
          <t>Itaú CC</t>
        </is>
      </c>
    </row>
    <row r="292">
      <c r="A292" s="19" t="inlineStr">
        <is>
          <t>2025-08-28</t>
        </is>
      </c>
      <c r="B292" s="19" t="inlineStr">
        <is>
          <t>PAGTO EM CONTA CORRENTE</t>
        </is>
      </c>
      <c r="C292" s="20" t="n">
        <v>51993.86</v>
      </c>
      <c r="D292" s="19" t="inlineStr">
        <is>
          <t>entrada</t>
        </is>
      </c>
      <c r="E292" s="19" t="inlineStr">
        <is>
          <t>Dividendos Nord</t>
        </is>
      </c>
      <c r="F292" s="19" t="inlineStr">
        <is>
          <t>2025-08</t>
        </is>
      </c>
      <c r="G292" s="19" t="inlineStr">
        <is>
          <t>Itaú CC</t>
        </is>
      </c>
    </row>
    <row r="293">
      <c r="A293" s="21" t="inlineStr">
        <is>
          <t>2025-08-25</t>
        </is>
      </c>
      <c r="B293" s="21" t="inlineStr">
        <is>
          <t>PIX QRS JC VALET PA23/08</t>
        </is>
      </c>
      <c r="C293" s="22" t="n">
        <v>-40</v>
      </c>
      <c r="D293" s="21" t="inlineStr">
        <is>
          <t>saída</t>
        </is>
      </c>
      <c r="E293" s="21" t="inlineStr">
        <is>
          <t>Outros</t>
        </is>
      </c>
      <c r="F293" s="21" t="inlineStr">
        <is>
          <t>2025-08</t>
        </is>
      </c>
      <c r="G293" s="21" t="inlineStr">
        <is>
          <t>Itaú CC</t>
        </is>
      </c>
    </row>
    <row r="294">
      <c r="A294" s="21" t="inlineStr">
        <is>
          <t>2025-08-22</t>
        </is>
      </c>
      <c r="B294" s="21" t="inlineStr">
        <is>
          <t>PIX TRANSF ADRIANA22/08</t>
        </is>
      </c>
      <c r="C294" s="22" t="n">
        <v>-200</v>
      </c>
      <c r="D294" s="21" t="inlineStr">
        <is>
          <t>saída</t>
        </is>
      </c>
      <c r="E294" s="21" t="inlineStr">
        <is>
          <t>Outros</t>
        </is>
      </c>
      <c r="F294" s="21" t="inlineStr">
        <is>
          <t>2025-08</t>
        </is>
      </c>
      <c r="G294" s="21" t="inlineStr">
        <is>
          <t>Itaú CC</t>
        </is>
      </c>
    </row>
    <row r="295">
      <c r="A295" s="19" t="inlineStr">
        <is>
          <t>2025-08-21</t>
        </is>
      </c>
      <c r="B295" s="19" t="inlineStr">
        <is>
          <t>RESGATE CDB DI</t>
        </is>
      </c>
      <c r="C295" s="20" t="n">
        <v>5000.6</v>
      </c>
      <c r="D295" s="19" t="inlineStr">
        <is>
          <t>entrada</t>
        </is>
      </c>
      <c r="E295" s="19" t="inlineStr">
        <is>
          <t>Resgate CDB</t>
        </is>
      </c>
      <c r="F295" s="19" t="inlineStr">
        <is>
          <t>2025-08</t>
        </is>
      </c>
      <c r="G295" s="19" t="inlineStr">
        <is>
          <t>Itaú CC</t>
        </is>
      </c>
    </row>
    <row r="296">
      <c r="A296" s="21" t="inlineStr">
        <is>
          <t>2025-08-21</t>
        </is>
      </c>
      <c r="B296" s="21" t="inlineStr">
        <is>
          <t>PIX TRANSF Diego P21/08</t>
        </is>
      </c>
      <c r="C296" s="22" t="n">
        <v>-3644.9</v>
      </c>
      <c r="D296" s="21" t="inlineStr">
        <is>
          <t>saída</t>
        </is>
      </c>
      <c r="E296" s="21" t="inlineStr">
        <is>
          <t>Outros</t>
        </is>
      </c>
      <c r="F296" s="21" t="inlineStr">
        <is>
          <t>2025-08</t>
        </is>
      </c>
      <c r="G296" s="21" t="inlineStr">
        <is>
          <t>Itaú CC</t>
        </is>
      </c>
    </row>
    <row r="297">
      <c r="A297" s="21" t="inlineStr">
        <is>
          <t>2025-08-18</t>
        </is>
      </c>
      <c r="B297" s="21" t="inlineStr">
        <is>
          <t>INT AZUL VISA</t>
        </is>
      </c>
      <c r="C297" s="22" t="n">
        <v>-18013.25</v>
      </c>
      <c r="D297" s="21" t="inlineStr">
        <is>
          <t>saída</t>
        </is>
      </c>
      <c r="E297" s="21" t="inlineStr">
        <is>
          <t>Fatura Cartão Azul</t>
        </is>
      </c>
      <c r="F297" s="21" t="inlineStr">
        <is>
          <t>2025-08</t>
        </is>
      </c>
      <c r="G297" s="21" t="inlineStr">
        <is>
          <t>Itaú CC</t>
        </is>
      </c>
    </row>
    <row r="298">
      <c r="A298" s="21" t="inlineStr">
        <is>
          <t>2025-08-18</t>
        </is>
      </c>
      <c r="B298" s="21" t="inlineStr">
        <is>
          <t>PERS BLACK 3609-3051</t>
        </is>
      </c>
      <c r="C298" s="22" t="n">
        <v>-4937.32</v>
      </c>
      <c r="D298" s="21" t="inlineStr">
        <is>
          <t>saída</t>
        </is>
      </c>
      <c r="E298" s="21" t="inlineStr">
        <is>
          <t>Fatura Cartão Itaú</t>
        </is>
      </c>
      <c r="F298" s="21" t="inlineStr">
        <is>
          <t>2025-08</t>
        </is>
      </c>
      <c r="G298" s="21" t="inlineStr">
        <is>
          <t>Itaú CC</t>
        </is>
      </c>
    </row>
    <row r="299">
      <c r="A299" s="21" t="inlineStr">
        <is>
          <t>2025-08-14</t>
        </is>
      </c>
      <c r="B299" s="21" t="inlineStr">
        <is>
          <t>PIX TRANSF Renato 14/08</t>
        </is>
      </c>
      <c r="C299" s="22" t="n">
        <v>-5000</v>
      </c>
      <c r="D299" s="21" t="inlineStr">
        <is>
          <t>saída</t>
        </is>
      </c>
      <c r="E299" s="21" t="inlineStr">
        <is>
          <t>Transferência Própria</t>
        </is>
      </c>
      <c r="F299" s="21" t="inlineStr">
        <is>
          <t>2025-08</t>
        </is>
      </c>
      <c r="G299" s="21" t="inlineStr">
        <is>
          <t>Itaú CC</t>
        </is>
      </c>
    </row>
    <row r="300">
      <c r="A300" s="21" t="inlineStr">
        <is>
          <t>2025-08-12</t>
        </is>
      </c>
      <c r="B300" s="21" t="inlineStr">
        <is>
          <t>PIX TRANSF TIAGO V12/08</t>
        </is>
      </c>
      <c r="C300" s="22" t="n">
        <v>-444</v>
      </c>
      <c r="D300" s="21" t="inlineStr">
        <is>
          <t>saída</t>
        </is>
      </c>
      <c r="E300" s="21" t="inlineStr">
        <is>
          <t>Outros</t>
        </is>
      </c>
      <c r="F300" s="21" t="inlineStr">
        <is>
          <t>2025-08</t>
        </is>
      </c>
      <c r="G300" s="21" t="inlineStr">
        <is>
          <t>Itaú CC</t>
        </is>
      </c>
    </row>
    <row r="301">
      <c r="A301" s="21" t="inlineStr">
        <is>
          <t>2025-08-11</t>
        </is>
      </c>
      <c r="B301" s="21" t="inlineStr">
        <is>
          <t>PIX TRANSF Renato 10/08</t>
        </is>
      </c>
      <c r="C301" s="22" t="n">
        <v>-6000</v>
      </c>
      <c r="D301" s="21" t="inlineStr">
        <is>
          <t>saída</t>
        </is>
      </c>
      <c r="E301" s="21" t="inlineStr">
        <is>
          <t>Transferência Própria</t>
        </is>
      </c>
      <c r="F301" s="21" t="inlineStr">
        <is>
          <t>2025-08</t>
        </is>
      </c>
      <c r="G301" s="21" t="inlineStr">
        <is>
          <t>Itaú CC</t>
        </is>
      </c>
    </row>
    <row r="302">
      <c r="A302" s="21" t="inlineStr">
        <is>
          <t>2025-08-11</t>
        </is>
      </c>
      <c r="B302" s="21" t="inlineStr">
        <is>
          <t>PIX TRANSF GLAUCIA10/08</t>
        </is>
      </c>
      <c r="C302" s="22" t="n">
        <v>3000</v>
      </c>
      <c r="D302" s="21" t="inlineStr">
        <is>
          <t>saída</t>
        </is>
      </c>
      <c r="E302" s="21" t="inlineStr">
        <is>
          <t>Serviços Domésticos</t>
        </is>
      </c>
      <c r="F302" s="21" t="inlineStr">
        <is>
          <t>2025-08</t>
        </is>
      </c>
      <c r="G302" s="21" t="inlineStr">
        <is>
          <t>Itaú CC</t>
        </is>
      </c>
    </row>
    <row r="303">
      <c r="A303" s="21" t="inlineStr">
        <is>
          <t>2025-08-11</t>
        </is>
      </c>
      <c r="B303" s="21" t="inlineStr">
        <is>
          <t>DA CLARO RESID 53719250</t>
        </is>
      </c>
      <c r="C303" s="22" t="n">
        <v>-282.58</v>
      </c>
      <c r="D303" s="21" t="inlineStr">
        <is>
          <t>saída</t>
        </is>
      </c>
      <c r="E303" s="21" t="inlineStr">
        <is>
          <t>Telecomunicações</t>
        </is>
      </c>
      <c r="F303" s="21" t="inlineStr">
        <is>
          <t>2025-08</t>
        </is>
      </c>
      <c r="G303" s="21" t="inlineStr">
        <is>
          <t>Itaú CC</t>
        </is>
      </c>
    </row>
    <row r="304">
      <c r="A304" s="21" t="inlineStr">
        <is>
          <t>2025-08-11</t>
        </is>
      </c>
      <c r="B304" s="21" t="inlineStr">
        <is>
          <t>DA VIVO-SP 11192739056</t>
        </is>
      </c>
      <c r="C304" s="22" t="n">
        <v>-295.99</v>
      </c>
      <c r="D304" s="21" t="inlineStr">
        <is>
          <t>saída</t>
        </is>
      </c>
      <c r="E304" s="21" t="inlineStr">
        <is>
          <t>Telecomunicações</t>
        </is>
      </c>
      <c r="F304" s="21" t="inlineStr">
        <is>
          <t>2025-08</t>
        </is>
      </c>
      <c r="G304" s="21" t="inlineStr">
        <is>
          <t>Itaú CC</t>
        </is>
      </c>
    </row>
    <row r="305">
      <c r="A305" s="21" t="inlineStr">
        <is>
          <t>2025-08-08</t>
        </is>
      </c>
      <c r="B305" s="21" t="inlineStr">
        <is>
          <t>PAG BOLETO PARQUE MORUMBY ADM LT SC</t>
        </is>
      </c>
      <c r="C305" s="22" t="n">
        <v>-2133.98</v>
      </c>
      <c r="D305" s="21" t="inlineStr">
        <is>
          <t>saída</t>
        </is>
      </c>
      <c r="E305" s="21" t="inlineStr">
        <is>
          <t>Outros</t>
        </is>
      </c>
      <c r="F305" s="21" t="inlineStr">
        <is>
          <t>2025-08</t>
        </is>
      </c>
      <c r="G305" s="21" t="inlineStr">
        <is>
          <t>Itaú CC</t>
        </is>
      </c>
    </row>
    <row r="306">
      <c r="A306" s="19" t="inlineStr">
        <is>
          <t>2025-08-08</t>
        </is>
      </c>
      <c r="B306" s="19" t="inlineStr">
        <is>
          <t>SISPAG G4 EDUCACAO LTDA</t>
        </is>
      </c>
      <c r="C306" s="20" t="n">
        <v>3500</v>
      </c>
      <c r="D306" s="19" t="inlineStr">
        <is>
          <t>entrada</t>
        </is>
      </c>
      <c r="E306" s="19" t="inlineStr">
        <is>
          <t>Reembolso</t>
        </is>
      </c>
      <c r="F306" s="19" t="inlineStr">
        <is>
          <t>2025-08</t>
        </is>
      </c>
      <c r="G306" s="19" t="inlineStr">
        <is>
          <t>Itaú CC</t>
        </is>
      </c>
    </row>
    <row r="307">
      <c r="A307" s="21" t="inlineStr">
        <is>
          <t>2025-08-06</t>
        </is>
      </c>
      <c r="B307" s="21" t="inlineStr">
        <is>
          <t>PIX TRANSF Renato 06/08</t>
        </is>
      </c>
      <c r="C307" s="22" t="n">
        <v>-10000</v>
      </c>
      <c r="D307" s="21" t="inlineStr">
        <is>
          <t>saída</t>
        </is>
      </c>
      <c r="E307" s="21" t="inlineStr">
        <is>
          <t>Transferência Própria</t>
        </is>
      </c>
      <c r="F307" s="21" t="inlineStr">
        <is>
          <t>2025-08</t>
        </is>
      </c>
      <c r="G307" s="21" t="inlineStr">
        <is>
          <t>Itaú CC</t>
        </is>
      </c>
    </row>
    <row r="308">
      <c r="A308" s="21" t="inlineStr">
        <is>
          <t>2025-08-04</t>
        </is>
      </c>
      <c r="B308" s="21" t="inlineStr">
        <is>
          <t>PIX TRANSF CARLOS 02/08</t>
        </is>
      </c>
      <c r="C308" s="22" t="n">
        <v>-210</v>
      </c>
      <c r="D308" s="21" t="inlineStr">
        <is>
          <t>saída</t>
        </is>
      </c>
      <c r="E308" s="21" t="inlineStr">
        <is>
          <t>Outros</t>
        </is>
      </c>
      <c r="F308" s="21" t="inlineStr">
        <is>
          <t>2025-08</t>
        </is>
      </c>
      <c r="G308" s="21" t="inlineStr">
        <is>
          <t>Itaú CC</t>
        </is>
      </c>
    </row>
    <row r="309">
      <c r="A309" s="21" t="inlineStr">
        <is>
          <t>2025-08-04</t>
        </is>
      </c>
      <c r="B309" s="21" t="inlineStr">
        <is>
          <t>PAG BOLETO CLUBE PAINEIRAS DO MORUMBY</t>
        </is>
      </c>
      <c r="C309" s="22" t="n">
        <v>-1304.05</v>
      </c>
      <c r="D309" s="21" t="inlineStr">
        <is>
          <t>saída</t>
        </is>
      </c>
      <c r="E309" s="21" t="inlineStr">
        <is>
          <t>Clube Paineiras</t>
        </is>
      </c>
      <c r="F309" s="21" t="inlineStr">
        <is>
          <t>2025-08</t>
        </is>
      </c>
      <c r="G309" s="21" t="inlineStr">
        <is>
          <t>Itaú CC</t>
        </is>
      </c>
    </row>
    <row r="310">
      <c r="A310" s="21" t="inlineStr">
        <is>
          <t>2025-08-04</t>
        </is>
      </c>
      <c r="B310" s="21" t="inlineStr">
        <is>
          <t>PAG BOLETO ESPORTE CLUBE PINHEIROS</t>
        </is>
      </c>
      <c r="C310" s="22" t="n">
        <v>-590</v>
      </c>
      <c r="D310" s="21" t="inlineStr">
        <is>
          <t>saída</t>
        </is>
      </c>
      <c r="E310" s="21" t="inlineStr">
        <is>
          <t>Clube ECP</t>
        </is>
      </c>
      <c r="F310" s="21" t="inlineStr">
        <is>
          <t>2025-08</t>
        </is>
      </c>
      <c r="G310" s="21" t="inlineStr">
        <is>
          <t>Itaú CC</t>
        </is>
      </c>
    </row>
    <row r="311">
      <c r="A311" s="19" t="inlineStr">
        <is>
          <t>2025-08-01</t>
        </is>
      </c>
      <c r="B311" s="19" t="inlineStr">
        <is>
          <t>SISPAG G4 EDUCACAO LTDA</t>
        </is>
      </c>
      <c r="C311" s="20" t="n">
        <v>3500</v>
      </c>
      <c r="D311" s="19" t="inlineStr">
        <is>
          <t>entrada</t>
        </is>
      </c>
      <c r="E311" s="19" t="inlineStr">
        <is>
          <t>Reembolso</t>
        </is>
      </c>
      <c r="F311" s="19" t="inlineStr">
        <is>
          <t>2025-08</t>
        </is>
      </c>
      <c r="G311" s="19" t="inlineStr">
        <is>
          <t>Itaú CC</t>
        </is>
      </c>
    </row>
    <row r="312">
      <c r="A312" s="21" t="inlineStr">
        <is>
          <t>2025-07-31</t>
        </is>
      </c>
      <c r="B312" s="21" t="inlineStr">
        <is>
          <t>PIX TRANSF DMW CON31/07</t>
        </is>
      </c>
      <c r="C312" s="22" t="n">
        <v>-405</v>
      </c>
      <c r="D312" s="21" t="inlineStr">
        <is>
          <t>saída</t>
        </is>
      </c>
      <c r="E312" s="21" t="inlineStr">
        <is>
          <t>Contabilidade</t>
        </is>
      </c>
      <c r="F312" s="21" t="inlineStr">
        <is>
          <t>2025-07</t>
        </is>
      </c>
      <c r="G312" s="21" t="inlineStr">
        <is>
          <t>Itaú CC</t>
        </is>
      </c>
    </row>
    <row r="313">
      <c r="A313" s="21" t="inlineStr">
        <is>
          <t>2025-07-31</t>
        </is>
      </c>
      <c r="B313" s="21" t="inlineStr">
        <is>
          <t>PIX TRANSF GLAUCIA31/07</t>
        </is>
      </c>
      <c r="C313" s="22" t="n">
        <v>-4307</v>
      </c>
      <c r="D313" s="21" t="inlineStr">
        <is>
          <t>saída</t>
        </is>
      </c>
      <c r="E313" s="21" t="inlineStr">
        <is>
          <t>Serviços Domésticos</t>
        </is>
      </c>
      <c r="F313" s="21" t="inlineStr">
        <is>
          <t>2025-07</t>
        </is>
      </c>
      <c r="G313" s="21" t="inlineStr">
        <is>
          <t>Itaú CC</t>
        </is>
      </c>
    </row>
    <row r="314">
      <c r="A314" s="21" t="inlineStr">
        <is>
          <t>2025-07-31</t>
        </is>
      </c>
      <c r="B314" s="21" t="inlineStr">
        <is>
          <t>PIX TRANSF RENATO 31/07</t>
        </is>
      </c>
      <c r="C314" s="22" t="n">
        <v>-18000</v>
      </c>
      <c r="D314" s="21" t="inlineStr">
        <is>
          <t>saída</t>
        </is>
      </c>
      <c r="E314" s="21" t="inlineStr">
        <is>
          <t>Transferência Própria</t>
        </is>
      </c>
      <c r="F314" s="21" t="inlineStr">
        <is>
          <t>2025-07</t>
        </is>
      </c>
      <c r="G314" s="21" t="inlineStr">
        <is>
          <t>Itaú CC</t>
        </is>
      </c>
    </row>
    <row r="315">
      <c r="A315" s="21" t="inlineStr">
        <is>
          <t>2025-07-31</t>
        </is>
      </c>
      <c r="B315" s="21" t="inlineStr">
        <is>
          <t>PIX TRANSF Renato 31/07</t>
        </is>
      </c>
      <c r="C315" s="22" t="n">
        <v>-6500</v>
      </c>
      <c r="D315" s="21" t="inlineStr">
        <is>
          <t>saída</t>
        </is>
      </c>
      <c r="E315" s="21" t="inlineStr">
        <is>
          <t>Transferência Própria</t>
        </is>
      </c>
      <c r="F315" s="21" t="inlineStr">
        <is>
          <t>2025-07</t>
        </is>
      </c>
      <c r="G315" s="21" t="inlineStr">
        <is>
          <t>Itaú CC</t>
        </is>
      </c>
    </row>
    <row r="316">
      <c r="A316" s="19" t="inlineStr">
        <is>
          <t>2025-07-30</t>
        </is>
      </c>
      <c r="B316" s="19" t="inlineStr">
        <is>
          <t>TED 237.0001.BRADESCO S</t>
        </is>
      </c>
      <c r="C316" s="20" t="n">
        <v>1051.97</v>
      </c>
      <c r="D316" s="19" t="inlineStr">
        <is>
          <t>entrada</t>
        </is>
      </c>
      <c r="E316" s="19" t="inlineStr">
        <is>
          <t>Outros</t>
        </is>
      </c>
      <c r="F316" s="19" t="inlineStr">
        <is>
          <t>2025-07</t>
        </is>
      </c>
      <c r="G316" s="19" t="inlineStr">
        <is>
          <t>Itaú CC</t>
        </is>
      </c>
    </row>
    <row r="317">
      <c r="A317" s="21" t="inlineStr">
        <is>
          <t>2025-07-30</t>
        </is>
      </c>
      <c r="B317" s="21" t="inlineStr">
        <is>
          <t>PIX QRS KODDEX SOLU30/07</t>
        </is>
      </c>
      <c r="C317" s="22" t="n">
        <v>-699</v>
      </c>
      <c r="D317" s="21" t="inlineStr">
        <is>
          <t>saída</t>
        </is>
      </c>
      <c r="E317" s="21" t="inlineStr">
        <is>
          <t>Outros</t>
        </is>
      </c>
      <c r="F317" s="21" t="inlineStr">
        <is>
          <t>2025-07</t>
        </is>
      </c>
      <c r="G317" s="21" t="inlineStr">
        <is>
          <t>Itaú CC</t>
        </is>
      </c>
    </row>
    <row r="318">
      <c r="A318" s="21" t="inlineStr">
        <is>
          <t>2025-07-30</t>
        </is>
      </c>
      <c r="B318" s="21" t="inlineStr">
        <is>
          <t>PIX TRANSF Renato 30/07</t>
        </is>
      </c>
      <c r="C318" s="22" t="n">
        <v>-5000</v>
      </c>
      <c r="D318" s="21" t="inlineStr">
        <is>
          <t>saída</t>
        </is>
      </c>
      <c r="E318" s="21" t="inlineStr">
        <is>
          <t>Transferência Própria</t>
        </is>
      </c>
      <c r="F318" s="21" t="inlineStr">
        <is>
          <t>2025-07</t>
        </is>
      </c>
      <c r="G318" s="21" t="inlineStr">
        <is>
          <t>Itaú CC</t>
        </is>
      </c>
    </row>
    <row r="319">
      <c r="A319" s="21" t="inlineStr">
        <is>
          <t>2025-07-30</t>
        </is>
      </c>
      <c r="B319" s="21" t="inlineStr">
        <is>
          <t>PIX TRANSF LR - PR30/07</t>
        </is>
      </c>
      <c r="C319" s="22" t="n">
        <v>-1610</v>
      </c>
      <c r="D319" s="21" t="inlineStr">
        <is>
          <t>saída</t>
        </is>
      </c>
      <c r="E319" s="21" t="inlineStr">
        <is>
          <t>⚠ LR-PR</t>
        </is>
      </c>
      <c r="F319" s="21" t="inlineStr">
        <is>
          <t>2025-07</t>
        </is>
      </c>
      <c r="G319" s="21" t="inlineStr">
        <is>
          <t>Itaú CC</t>
        </is>
      </c>
    </row>
    <row r="320">
      <c r="A320" s="21" t="inlineStr">
        <is>
          <t>2025-07-30</t>
        </is>
      </c>
      <c r="B320" s="21" t="inlineStr">
        <is>
          <t>PIX TRANSF Carlos 30/07</t>
        </is>
      </c>
      <c r="C320" s="22" t="n">
        <v>-25</v>
      </c>
      <c r="D320" s="21" t="inlineStr">
        <is>
          <t>saída</t>
        </is>
      </c>
      <c r="E320" s="21" t="inlineStr">
        <is>
          <t>Outros</t>
        </is>
      </c>
      <c r="F320" s="21" t="inlineStr">
        <is>
          <t>2025-07</t>
        </is>
      </c>
      <c r="G320" s="21" t="inlineStr">
        <is>
          <t>Itaú CC</t>
        </is>
      </c>
    </row>
    <row r="321">
      <c r="A321" s="19" t="inlineStr">
        <is>
          <t>2025-07-30</t>
        </is>
      </c>
      <c r="B321" s="19" t="inlineStr">
        <is>
          <t>PAGTO EM CONTA CORRENTE</t>
        </is>
      </c>
      <c r="C321" s="20" t="n">
        <v>51993.86</v>
      </c>
      <c r="D321" s="19" t="inlineStr">
        <is>
          <t>entrada</t>
        </is>
      </c>
      <c r="E321" s="19" t="inlineStr">
        <is>
          <t>Dividendos Nord</t>
        </is>
      </c>
      <c r="F321" s="19" t="inlineStr">
        <is>
          <t>2025-07</t>
        </is>
      </c>
      <c r="G321" s="19" t="inlineStr">
        <is>
          <t>Itaú CC</t>
        </is>
      </c>
    </row>
    <row r="322">
      <c r="A322" s="19" t="inlineStr">
        <is>
          <t>2025-07-30</t>
        </is>
      </c>
      <c r="B322" s="19" t="inlineStr">
        <is>
          <t>PAGTO SALARIO</t>
        </is>
      </c>
      <c r="C322" s="20" t="n">
        <v>1351.02</v>
      </c>
      <c r="D322" s="19" t="inlineStr">
        <is>
          <t>entrada</t>
        </is>
      </c>
      <c r="E322" s="19" t="inlineStr">
        <is>
          <t>Salário</t>
        </is>
      </c>
      <c r="F322" s="19" t="inlineStr">
        <is>
          <t>2025-07</t>
        </is>
      </c>
      <c r="G322" s="19" t="inlineStr">
        <is>
          <t>Itaú CC</t>
        </is>
      </c>
    </row>
    <row r="323">
      <c r="A323" s="21" t="inlineStr">
        <is>
          <t>2025-07-29</t>
        </is>
      </c>
      <c r="B323" s="21" t="inlineStr">
        <is>
          <t>PIX TRANSF FERNAND29/07</t>
        </is>
      </c>
      <c r="C323" s="22" t="n">
        <v>-11800</v>
      </c>
      <c r="D323" s="21" t="inlineStr">
        <is>
          <t>saída</t>
        </is>
      </c>
      <c r="E323" s="21" t="inlineStr">
        <is>
          <t>Aluguel</t>
        </is>
      </c>
      <c r="F323" s="21" t="inlineStr">
        <is>
          <t>2025-07</t>
        </is>
      </c>
      <c r="G323" s="21" t="inlineStr">
        <is>
          <t>Itaú CC</t>
        </is>
      </c>
    </row>
    <row r="324">
      <c r="A324" s="21" t="inlineStr">
        <is>
          <t>2025-07-28</t>
        </is>
      </c>
      <c r="B324" s="21" t="inlineStr">
        <is>
          <t>PIX TRANSF JOAO TE26/07</t>
        </is>
      </c>
      <c r="C324" s="22" t="n">
        <v>-66</v>
      </c>
      <c r="D324" s="21" t="inlineStr">
        <is>
          <t>saída</t>
        </is>
      </c>
      <c r="E324" s="21" t="inlineStr">
        <is>
          <t>Outros</t>
        </is>
      </c>
      <c r="F324" s="21" t="inlineStr">
        <is>
          <t>2025-07</t>
        </is>
      </c>
      <c r="G324" s="21" t="inlineStr">
        <is>
          <t>Itaú CC</t>
        </is>
      </c>
    </row>
    <row r="325">
      <c r="A325" s="21" t="inlineStr">
        <is>
          <t>2025-07-25</t>
        </is>
      </c>
      <c r="B325" s="21" t="inlineStr">
        <is>
          <t>PIX TRANSF Diego P25/07</t>
        </is>
      </c>
      <c r="C325" s="22" t="n">
        <v>-3720</v>
      </c>
      <c r="D325" s="21" t="inlineStr">
        <is>
          <t>saída</t>
        </is>
      </c>
      <c r="E325" s="21" t="inlineStr">
        <is>
          <t>Outros</t>
        </is>
      </c>
      <c r="F325" s="21" t="inlineStr">
        <is>
          <t>2025-07</t>
        </is>
      </c>
      <c r="G325" s="21" t="inlineStr">
        <is>
          <t>Itaú CC</t>
        </is>
      </c>
    </row>
    <row r="326">
      <c r="A326" s="21" t="inlineStr">
        <is>
          <t>2025-07-24</t>
        </is>
      </c>
      <c r="B326" s="21" t="inlineStr">
        <is>
          <t>PIX TRANSF ROGERIO24/07</t>
        </is>
      </c>
      <c r="C326" s="22" t="n">
        <v>-145</v>
      </c>
      <c r="D326" s="21" t="inlineStr">
        <is>
          <t>saída</t>
        </is>
      </c>
      <c r="E326" s="21" t="inlineStr">
        <is>
          <t>Outros</t>
        </is>
      </c>
      <c r="F326" s="21" t="inlineStr">
        <is>
          <t>2025-07</t>
        </is>
      </c>
      <c r="G326" s="21" t="inlineStr">
        <is>
          <t>Itaú CC</t>
        </is>
      </c>
    </row>
    <row r="327">
      <c r="A327" s="21" t="inlineStr">
        <is>
          <t>2025-07-22</t>
        </is>
      </c>
      <c r="B327" s="21" t="inlineStr">
        <is>
          <t>PIX QRS ESPORTE CLU22/07</t>
        </is>
      </c>
      <c r="C327" s="22" t="n">
        <v>-303</v>
      </c>
      <c r="D327" s="21" t="inlineStr">
        <is>
          <t>saída</t>
        </is>
      </c>
      <c r="E327" s="21" t="inlineStr">
        <is>
          <t>Clube ECP</t>
        </is>
      </c>
      <c r="F327" s="21" t="inlineStr">
        <is>
          <t>2025-07</t>
        </is>
      </c>
      <c r="G327" s="21" t="inlineStr">
        <is>
          <t>Itaú CC</t>
        </is>
      </c>
    </row>
    <row r="328">
      <c r="A328" s="21" t="inlineStr">
        <is>
          <t>2025-07-21</t>
        </is>
      </c>
      <c r="B328" s="21" t="inlineStr">
        <is>
          <t>PIX QRS CONSELHO RE21/07</t>
        </is>
      </c>
      <c r="C328" s="22" t="n">
        <v>-919.83</v>
      </c>
      <c r="D328" s="21" t="inlineStr">
        <is>
          <t>saída</t>
        </is>
      </c>
      <c r="E328" s="21" t="inlineStr">
        <is>
          <t>Outros</t>
        </is>
      </c>
      <c r="F328" s="21" t="inlineStr">
        <is>
          <t>2025-07</t>
        </is>
      </c>
      <c r="G328" s="21" t="inlineStr">
        <is>
          <t>Itaú CC</t>
        </is>
      </c>
    </row>
    <row r="329">
      <c r="A329" s="21" t="inlineStr">
        <is>
          <t>2025-07-21</t>
        </is>
      </c>
      <c r="B329" s="21" t="inlineStr">
        <is>
          <t>PIX TRANSF JOELMA 21/07</t>
        </is>
      </c>
      <c r="C329" s="22" t="n">
        <v>-440</v>
      </c>
      <c r="D329" s="21" t="inlineStr">
        <is>
          <t>saída</t>
        </is>
      </c>
      <c r="E329" s="21" t="inlineStr">
        <is>
          <t>Outros</t>
        </is>
      </c>
      <c r="F329" s="21" t="inlineStr">
        <is>
          <t>2025-07</t>
        </is>
      </c>
      <c r="G329" s="21" t="inlineStr">
        <is>
          <t>Itaú CC</t>
        </is>
      </c>
    </row>
    <row r="330">
      <c r="A330" s="19" t="inlineStr">
        <is>
          <t>2025-07-18</t>
        </is>
      </c>
      <c r="B330" s="19" t="inlineStr">
        <is>
          <t>PIX TRANSF VICTOR 18/07</t>
        </is>
      </c>
      <c r="C330" s="20" t="n">
        <v>9315.950000000001</v>
      </c>
      <c r="D330" s="19" t="inlineStr">
        <is>
          <t>entrada</t>
        </is>
      </c>
      <c r="E330" s="19" t="inlineStr">
        <is>
          <t>Outros</t>
        </is>
      </c>
      <c r="F330" s="19" t="inlineStr">
        <is>
          <t>2025-07</t>
        </is>
      </c>
      <c r="G330" s="19" t="inlineStr">
        <is>
          <t>Itaú CC</t>
        </is>
      </c>
    </row>
    <row r="331">
      <c r="A331" s="21" t="inlineStr">
        <is>
          <t>2025-07-18</t>
        </is>
      </c>
      <c r="B331" s="21" t="inlineStr">
        <is>
          <t>PIX TRANSF 58.655.18/07</t>
        </is>
      </c>
      <c r="C331" s="22" t="n">
        <v>-370</v>
      </c>
      <c r="D331" s="21" t="inlineStr">
        <is>
          <t>saída</t>
        </is>
      </c>
      <c r="E331" s="21" t="inlineStr">
        <is>
          <t>Outros</t>
        </is>
      </c>
      <c r="F331" s="21" t="inlineStr">
        <is>
          <t>2025-07</t>
        </is>
      </c>
      <c r="G331" s="21" t="inlineStr">
        <is>
          <t>Itaú CC</t>
        </is>
      </c>
    </row>
    <row r="332">
      <c r="A332" s="19" t="inlineStr">
        <is>
          <t>2025-07-17</t>
        </is>
      </c>
      <c r="B332" s="19" t="inlineStr">
        <is>
          <t>PIX TRANSF LUIZ PE17/07</t>
        </is>
      </c>
      <c r="C332" s="20" t="n">
        <v>6960.09</v>
      </c>
      <c r="D332" s="19" t="inlineStr">
        <is>
          <t>entrada</t>
        </is>
      </c>
      <c r="E332" s="19" t="inlineStr">
        <is>
          <t>Outros</t>
        </is>
      </c>
      <c r="F332" s="19" t="inlineStr">
        <is>
          <t>2025-07</t>
        </is>
      </c>
      <c r="G332" s="19" t="inlineStr">
        <is>
          <t>Itaú CC</t>
        </is>
      </c>
    </row>
    <row r="333">
      <c r="A333" s="19" t="inlineStr">
        <is>
          <t>2025-07-17</t>
        </is>
      </c>
      <c r="B333" s="19" t="inlineStr">
        <is>
          <t>RESGATE CDB DI</t>
        </is>
      </c>
      <c r="C333" s="20" t="n">
        <v>30000.58</v>
      </c>
      <c r="D333" s="19" t="inlineStr">
        <is>
          <t>entrada</t>
        </is>
      </c>
      <c r="E333" s="19" t="inlineStr">
        <is>
          <t>Resgate CDB</t>
        </is>
      </c>
      <c r="F333" s="19" t="inlineStr">
        <is>
          <t>2025-07</t>
        </is>
      </c>
      <c r="G333" s="19" t="inlineStr">
        <is>
          <t>Itaú CC</t>
        </is>
      </c>
    </row>
    <row r="334">
      <c r="A334" s="21" t="inlineStr">
        <is>
          <t>2025-07-17</t>
        </is>
      </c>
      <c r="B334" s="21" t="inlineStr">
        <is>
          <t>INT AZUL VISA</t>
        </is>
      </c>
      <c r="C334" s="22" t="n">
        <v>-30973</v>
      </c>
      <c r="D334" s="21" t="inlineStr">
        <is>
          <t>saída</t>
        </is>
      </c>
      <c r="E334" s="21" t="inlineStr">
        <is>
          <t>Fatura Cartão Azul</t>
        </is>
      </c>
      <c r="F334" s="21" t="inlineStr">
        <is>
          <t>2025-07</t>
        </is>
      </c>
      <c r="G334" s="21" t="inlineStr">
        <is>
          <t>Itaú CC</t>
        </is>
      </c>
    </row>
    <row r="335">
      <c r="A335" s="19" t="inlineStr">
        <is>
          <t>2025-07-17</t>
        </is>
      </c>
      <c r="B335" s="19" t="inlineStr">
        <is>
          <t>PIX TRANSF HENRIQU17/07</t>
        </is>
      </c>
      <c r="C335" s="20" t="n">
        <v>10069.07</v>
      </c>
      <c r="D335" s="19" t="inlineStr">
        <is>
          <t>entrada</t>
        </is>
      </c>
      <c r="E335" s="19" t="inlineStr">
        <is>
          <t>Outros</t>
        </is>
      </c>
      <c r="F335" s="19" t="inlineStr">
        <is>
          <t>2025-07</t>
        </is>
      </c>
      <c r="G335" s="19" t="inlineStr">
        <is>
          <t>Itaú CC</t>
        </is>
      </c>
    </row>
    <row r="336">
      <c r="A336" s="21" t="inlineStr">
        <is>
          <t>2025-07-17</t>
        </is>
      </c>
      <c r="B336" s="21" t="inlineStr">
        <is>
          <t>PERS BLACK 3609-3051</t>
        </is>
      </c>
      <c r="C336" s="22" t="n">
        <v>-6515.19</v>
      </c>
      <c r="D336" s="21" t="inlineStr">
        <is>
          <t>saída</t>
        </is>
      </c>
      <c r="E336" s="21" t="inlineStr">
        <is>
          <t>Fatura Cartão Itaú</t>
        </is>
      </c>
      <c r="F336" s="21" t="inlineStr">
        <is>
          <t>2025-07</t>
        </is>
      </c>
      <c r="G336" s="21" t="inlineStr">
        <is>
          <t>Itaú CC</t>
        </is>
      </c>
    </row>
    <row r="337">
      <c r="A337" s="21" t="inlineStr">
        <is>
          <t>2025-07-16</t>
        </is>
      </c>
      <c r="B337" s="21" t="inlineStr">
        <is>
          <t>PIX TRANSF RICARDO16/07</t>
        </is>
      </c>
      <c r="C337" s="22" t="n">
        <v>-261480.39</v>
      </c>
      <c r="D337" s="21" t="inlineStr">
        <is>
          <t>saída</t>
        </is>
      </c>
      <c r="E337" s="21" t="inlineStr">
        <is>
          <t>Outros</t>
        </is>
      </c>
      <c r="F337" s="21" t="inlineStr">
        <is>
          <t>2025-07</t>
        </is>
      </c>
      <c r="G337" s="21" t="inlineStr">
        <is>
          <t>Itaú CC</t>
        </is>
      </c>
    </row>
    <row r="338">
      <c r="A338" s="19" t="inlineStr">
        <is>
          <t>2025-07-16</t>
        </is>
      </c>
      <c r="B338" s="19" t="inlineStr">
        <is>
          <t>PIX TRANSF GABRIEL16/07</t>
        </is>
      </c>
      <c r="C338" s="20" t="n">
        <v>-15</v>
      </c>
      <c r="D338" s="19" t="inlineStr">
        <is>
          <t>entrada</t>
        </is>
      </c>
      <c r="E338" s="19" t="inlineStr">
        <is>
          <t>Transferência Gabriel</t>
        </is>
      </c>
      <c r="F338" s="19" t="inlineStr">
        <is>
          <t>2025-07</t>
        </is>
      </c>
      <c r="G338" s="19" t="inlineStr">
        <is>
          <t>Itaú CC</t>
        </is>
      </c>
    </row>
    <row r="339">
      <c r="A339" s="21" t="inlineStr">
        <is>
          <t>2025-07-16</t>
        </is>
      </c>
      <c r="B339" s="21" t="inlineStr">
        <is>
          <t>PIX TRANSF RICARDO16/07</t>
        </is>
      </c>
      <c r="C339" s="22" t="n">
        <v>-779.49</v>
      </c>
      <c r="D339" s="21" t="inlineStr">
        <is>
          <t>saída</t>
        </is>
      </c>
      <c r="E339" s="21" t="inlineStr">
        <is>
          <t>Outros</t>
        </is>
      </c>
      <c r="F339" s="21" t="inlineStr">
        <is>
          <t>2025-07</t>
        </is>
      </c>
      <c r="G339" s="21" t="inlineStr">
        <is>
          <t>Itaú CC</t>
        </is>
      </c>
    </row>
    <row r="340">
      <c r="A340" s="19" t="inlineStr">
        <is>
          <t>2025-07-15</t>
        </is>
      </c>
      <c r="B340" s="19" t="inlineStr">
        <is>
          <t>TBI 3747.27243-7Nord</t>
        </is>
      </c>
      <c r="C340" s="20" t="n">
        <v>28395.76</v>
      </c>
      <c r="D340" s="19" t="inlineStr">
        <is>
          <t>entrada</t>
        </is>
      </c>
      <c r="E340" s="19" t="inlineStr">
        <is>
          <t>Dividendos Nord</t>
        </is>
      </c>
      <c r="F340" s="19" t="inlineStr">
        <is>
          <t>2025-07</t>
        </is>
      </c>
      <c r="G340" s="19" t="inlineStr">
        <is>
          <t>Itaú CC</t>
        </is>
      </c>
    </row>
    <row r="341">
      <c r="A341" s="19" t="inlineStr">
        <is>
          <t>2025-07-15</t>
        </is>
      </c>
      <c r="B341" s="19" t="inlineStr">
        <is>
          <t>PAGTO BONUS</t>
        </is>
      </c>
      <c r="C341" s="20" t="n">
        <v>250000</v>
      </c>
      <c r="D341" s="19" t="inlineStr">
        <is>
          <t>entrada</t>
        </is>
      </c>
      <c r="E341" s="19" t="inlineStr">
        <is>
          <t>Outros</t>
        </is>
      </c>
      <c r="F341" s="19" t="inlineStr">
        <is>
          <t>2025-07</t>
        </is>
      </c>
      <c r="G341" s="19" t="inlineStr">
        <is>
          <t>Itaú CC</t>
        </is>
      </c>
    </row>
    <row r="342">
      <c r="A342" s="19" t="inlineStr">
        <is>
          <t>2025-07-14</t>
        </is>
      </c>
      <c r="B342" s="19" t="inlineStr">
        <is>
          <t>RESGATE CDB DI</t>
        </is>
      </c>
      <c r="C342" s="20" t="n">
        <v>12500.24</v>
      </c>
      <c r="D342" s="19" t="inlineStr">
        <is>
          <t>entrada</t>
        </is>
      </c>
      <c r="E342" s="19" t="inlineStr">
        <is>
          <t>Resgate CDB</t>
        </is>
      </c>
      <c r="F342" s="19" t="inlineStr">
        <is>
          <t>2025-07</t>
        </is>
      </c>
      <c r="G342" s="19" t="inlineStr">
        <is>
          <t>Itaú CC</t>
        </is>
      </c>
    </row>
    <row r="343">
      <c r="A343" s="21" t="inlineStr">
        <is>
          <t>2025-07-14</t>
        </is>
      </c>
      <c r="B343" s="21" t="inlineStr">
        <is>
          <t>PIX TRANSF MARIANA14/07</t>
        </is>
      </c>
      <c r="C343" s="22" t="n">
        <v>-12500</v>
      </c>
      <c r="D343" s="21" t="inlineStr">
        <is>
          <t>saída</t>
        </is>
      </c>
      <c r="E343" s="21" t="inlineStr">
        <is>
          <t>Outros</t>
        </is>
      </c>
      <c r="F343" s="21" t="inlineStr">
        <is>
          <t>2025-07</t>
        </is>
      </c>
      <c r="G343" s="21" t="inlineStr">
        <is>
          <t>Itaú CC</t>
        </is>
      </c>
    </row>
    <row r="344">
      <c r="A344" s="21" t="inlineStr">
        <is>
          <t>2025-07-14</t>
        </is>
      </c>
      <c r="B344" s="21" t="inlineStr">
        <is>
          <t>PIX QRS Pagar Me Pa14/07</t>
        </is>
      </c>
      <c r="C344" s="22" t="n">
        <v>-12.9</v>
      </c>
      <c r="D344" s="21" t="inlineStr">
        <is>
          <t>saída</t>
        </is>
      </c>
      <c r="E344" s="21" t="inlineStr">
        <is>
          <t>Outros</t>
        </is>
      </c>
      <c r="F344" s="21" t="inlineStr">
        <is>
          <t>2025-07</t>
        </is>
      </c>
      <c r="G344" s="21" t="inlineStr">
        <is>
          <t>Itaú CC</t>
        </is>
      </c>
    </row>
    <row r="345">
      <c r="A345" s="21" t="inlineStr">
        <is>
          <t>2025-07-10</t>
        </is>
      </c>
      <c r="B345" s="21" t="inlineStr">
        <is>
          <t>PIX TRANSF DAVID X09/07</t>
        </is>
      </c>
      <c r="C345" s="22" t="n">
        <v>-180</v>
      </c>
      <c r="D345" s="21" t="inlineStr">
        <is>
          <t>saída</t>
        </is>
      </c>
      <c r="E345" s="21" t="inlineStr">
        <is>
          <t>Outros</t>
        </is>
      </c>
      <c r="F345" s="21" t="inlineStr">
        <is>
          <t>2025-07</t>
        </is>
      </c>
      <c r="G345" s="21" t="inlineStr">
        <is>
          <t>Itaú CC</t>
        </is>
      </c>
    </row>
    <row r="346">
      <c r="A346" s="21" t="inlineStr">
        <is>
          <t>2025-07-10</t>
        </is>
      </c>
      <c r="B346" s="21" t="inlineStr">
        <is>
          <t>PIX QRS QMS INTERNA09/07</t>
        </is>
      </c>
      <c r="C346" s="22" t="n">
        <v>-50</v>
      </c>
      <c r="D346" s="21" t="inlineStr">
        <is>
          <t>saída</t>
        </is>
      </c>
      <c r="E346" s="21" t="inlineStr">
        <is>
          <t>Outros</t>
        </is>
      </c>
      <c r="F346" s="21" t="inlineStr">
        <is>
          <t>2025-07</t>
        </is>
      </c>
      <c r="G346" s="21" t="inlineStr">
        <is>
          <t>Itaú CC</t>
        </is>
      </c>
    </row>
    <row r="347">
      <c r="A347" s="21" t="inlineStr">
        <is>
          <t>2025-07-10</t>
        </is>
      </c>
      <c r="B347" s="21" t="inlineStr">
        <is>
          <t>PAG TIT INT 237</t>
        </is>
      </c>
      <c r="C347" s="22" t="n">
        <v>-590</v>
      </c>
      <c r="D347" s="21" t="inlineStr">
        <is>
          <t>saída</t>
        </is>
      </c>
      <c r="E347" s="21" t="inlineStr">
        <is>
          <t>Fatura Cartão</t>
        </is>
      </c>
      <c r="F347" s="21" t="inlineStr">
        <is>
          <t>2025-07</t>
        </is>
      </c>
      <c r="G347" s="21" t="inlineStr">
        <is>
          <t>Itaú CC</t>
        </is>
      </c>
    </row>
    <row r="348">
      <c r="A348" s="21" t="inlineStr">
        <is>
          <t>2025-07-10</t>
        </is>
      </c>
      <c r="B348" s="21" t="inlineStr">
        <is>
          <t>DA VIVO-SP 11192739056</t>
        </is>
      </c>
      <c r="C348" s="22" t="n">
        <v>-295.99</v>
      </c>
      <c r="D348" s="21" t="inlineStr">
        <is>
          <t>saída</t>
        </is>
      </c>
      <c r="E348" s="21" t="inlineStr">
        <is>
          <t>Telecomunicações</t>
        </is>
      </c>
      <c r="F348" s="21" t="inlineStr">
        <is>
          <t>2025-07</t>
        </is>
      </c>
      <c r="G348" s="21" t="inlineStr">
        <is>
          <t>Itaú CC</t>
        </is>
      </c>
    </row>
    <row r="349">
      <c r="A349" s="21" t="inlineStr">
        <is>
          <t>2025-07-10</t>
        </is>
      </c>
      <c r="B349" s="21" t="inlineStr">
        <is>
          <t>DA CLARO RESID 53719250</t>
        </is>
      </c>
      <c r="C349" s="22" t="n">
        <v>-261.7</v>
      </c>
      <c r="D349" s="21" t="inlineStr">
        <is>
          <t>saída</t>
        </is>
      </c>
      <c r="E349" s="21" t="inlineStr">
        <is>
          <t>Telecomunicações</t>
        </is>
      </c>
      <c r="F349" s="21" t="inlineStr">
        <is>
          <t>2025-07</t>
        </is>
      </c>
      <c r="G349" s="21" t="inlineStr">
        <is>
          <t>Itaú CC</t>
        </is>
      </c>
    </row>
    <row r="350">
      <c r="A350" s="21" t="inlineStr">
        <is>
          <t>2025-07-08</t>
        </is>
      </c>
      <c r="B350" s="21" t="inlineStr">
        <is>
          <t>PAG TIT INT 237</t>
        </is>
      </c>
      <c r="C350" s="22" t="n">
        <v>-1304.05</v>
      </c>
      <c r="D350" s="21" t="inlineStr">
        <is>
          <t>saída</t>
        </is>
      </c>
      <c r="E350" s="21" t="inlineStr">
        <is>
          <t>Fatura Cartão</t>
        </is>
      </c>
      <c r="F350" s="21" t="inlineStr">
        <is>
          <t>2025-07</t>
        </is>
      </c>
      <c r="G350" s="21" t="inlineStr">
        <is>
          <t>Itaú CC</t>
        </is>
      </c>
    </row>
    <row r="351">
      <c r="A351" s="19" t="inlineStr">
        <is>
          <t>2025-07-08</t>
        </is>
      </c>
      <c r="B351" s="19" t="inlineStr">
        <is>
          <t>TED 237.0001.BRADESCO S</t>
        </is>
      </c>
      <c r="C351" s="20" t="n">
        <v>634.54</v>
      </c>
      <c r="D351" s="19" t="inlineStr">
        <is>
          <t>entrada</t>
        </is>
      </c>
      <c r="E351" s="19" t="inlineStr">
        <is>
          <t>Outros</t>
        </is>
      </c>
      <c r="F351" s="19" t="inlineStr">
        <is>
          <t>2025-07</t>
        </is>
      </c>
      <c r="G351" s="19" t="inlineStr">
        <is>
          <t>Itaú CC</t>
        </is>
      </c>
    </row>
    <row r="352">
      <c r="A352" s="21" t="inlineStr">
        <is>
          <t>2025-07-04</t>
        </is>
      </c>
      <c r="B352" s="21" t="inlineStr">
        <is>
          <t>PIX TRANSF TOMAS P04/07</t>
        </is>
      </c>
      <c r="C352" s="22" t="n">
        <v>-200</v>
      </c>
      <c r="D352" s="21" t="inlineStr">
        <is>
          <t>saída</t>
        </is>
      </c>
      <c r="E352" s="21" t="inlineStr">
        <is>
          <t>Outros</t>
        </is>
      </c>
      <c r="F352" s="21" t="inlineStr">
        <is>
          <t>2025-07</t>
        </is>
      </c>
      <c r="G352" s="21" t="inlineStr">
        <is>
          <t>Itaú CC</t>
        </is>
      </c>
    </row>
    <row r="353">
      <c r="A353" s="21" t="inlineStr">
        <is>
          <t>2025-07-04</t>
        </is>
      </c>
      <c r="B353" s="21" t="inlineStr">
        <is>
          <t>PIX TRANSF JOELMA 04/07</t>
        </is>
      </c>
      <c r="C353" s="22" t="n">
        <v>-440</v>
      </c>
      <c r="D353" s="21" t="inlineStr">
        <is>
          <t>saída</t>
        </is>
      </c>
      <c r="E353" s="21" t="inlineStr">
        <is>
          <t>Outros</t>
        </is>
      </c>
      <c r="F353" s="21" t="inlineStr">
        <is>
          <t>2025-07</t>
        </is>
      </c>
      <c r="G353" s="21" t="inlineStr">
        <is>
          <t>Itaú CC</t>
        </is>
      </c>
    </row>
    <row r="354">
      <c r="A354" s="19" t="inlineStr">
        <is>
          <t>2025-07-03</t>
        </is>
      </c>
      <c r="B354" s="19" t="inlineStr">
        <is>
          <t>RESGATE CDB DI</t>
        </is>
      </c>
      <c r="C354" s="20" t="n">
        <v>11500.02</v>
      </c>
      <c r="D354" s="19" t="inlineStr">
        <is>
          <t>entrada</t>
        </is>
      </c>
      <c r="E354" s="19" t="inlineStr">
        <is>
          <t>Resgate CDB</t>
        </is>
      </c>
      <c r="F354" s="19" t="inlineStr">
        <is>
          <t>2025-07</t>
        </is>
      </c>
      <c r="G354" s="19" t="inlineStr">
        <is>
          <t>Itaú CC</t>
        </is>
      </c>
    </row>
    <row r="355">
      <c r="A355" s="21" t="inlineStr">
        <is>
          <t>2025-07-03</t>
        </is>
      </c>
      <c r="B355" s="21" t="inlineStr">
        <is>
          <t>PIX TRANSF Diego P03/07</t>
        </is>
      </c>
      <c r="C355" s="22" t="n">
        <v>-11270</v>
      </c>
      <c r="D355" s="21" t="inlineStr">
        <is>
          <t>saída</t>
        </is>
      </c>
      <c r="E355" s="21" t="inlineStr">
        <is>
          <t>Outros</t>
        </is>
      </c>
      <c r="F355" s="21" t="inlineStr">
        <is>
          <t>2025-07</t>
        </is>
      </c>
      <c r="G355" s="21" t="inlineStr">
        <is>
          <t>Itaú CC</t>
        </is>
      </c>
    </row>
    <row r="356">
      <c r="A356" s="21" t="inlineStr">
        <is>
          <t>2025-07-01</t>
        </is>
      </c>
      <c r="B356" s="21" t="inlineStr">
        <is>
          <t>PIX TRANSF DMW CON01/07</t>
        </is>
      </c>
      <c r="C356" s="22" t="n">
        <v>-405</v>
      </c>
      <c r="D356" s="21" t="inlineStr">
        <is>
          <t>saída</t>
        </is>
      </c>
      <c r="E356" s="21" t="inlineStr">
        <is>
          <t>Contabilidade</t>
        </is>
      </c>
      <c r="F356" s="21" t="inlineStr">
        <is>
          <t>2025-07</t>
        </is>
      </c>
      <c r="G356" s="21" t="inlineStr">
        <is>
          <t>Itaú CC</t>
        </is>
      </c>
    </row>
    <row r="357">
      <c r="A357" s="21" t="inlineStr">
        <is>
          <t>2025-07-01</t>
        </is>
      </c>
      <c r="B357" s="21" t="inlineStr">
        <is>
          <t>PIX TRANSF RENATO 01/07</t>
        </is>
      </c>
      <c r="C357" s="22" t="n">
        <v>-31500</v>
      </c>
      <c r="D357" s="21" t="inlineStr">
        <is>
          <t>saída</t>
        </is>
      </c>
      <c r="E357" s="21" t="inlineStr">
        <is>
          <t>Transferência Própria</t>
        </is>
      </c>
      <c r="F357" s="21" t="inlineStr">
        <is>
          <t>2025-07</t>
        </is>
      </c>
      <c r="G357" s="21" t="inlineStr">
        <is>
          <t>Itaú CC</t>
        </is>
      </c>
    </row>
  </sheetData>
  <autoFilter ref="A1:G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0" customWidth="1" min="4" max="4"/>
    <col width="28" customWidth="1" min="5" max="5"/>
    <col width="9" customWidth="1" min="6" max="6"/>
    <col width="14" customWidth="1" min="7" max="7"/>
  </cols>
  <sheetData>
    <row r="1">
      <c r="A1" s="23" t="inlineStr">
        <is>
          <t>Data</t>
        </is>
      </c>
      <c r="B1" s="23" t="inlineStr">
        <is>
          <t>Descrição</t>
        </is>
      </c>
      <c r="C1" s="23" t="inlineStr">
        <is>
          <t>Valor (R$)</t>
        </is>
      </c>
      <c r="D1" s="23" t="inlineStr">
        <is>
          <t>Tipo</t>
        </is>
      </c>
      <c r="E1" s="23" t="inlineStr">
        <is>
          <t>Categoria</t>
        </is>
      </c>
      <c r="F1" s="23" t="inlineStr">
        <is>
          <t>Mês</t>
        </is>
      </c>
      <c r="G1" s="23" t="inlineStr">
        <is>
          <t>Conta</t>
        </is>
      </c>
    </row>
    <row r="2">
      <c r="B2" s="24" t="inlineStr">
        <is>
          <t>Dados de Itaú Cartão serão adicionados quando o extrato for enviado.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0" customWidth="1" min="4" max="4"/>
    <col width="28" customWidth="1" min="5" max="5"/>
    <col width="9" customWidth="1" min="6" max="6"/>
    <col width="14" customWidth="1" min="7" max="7"/>
  </cols>
  <sheetData>
    <row r="1">
      <c r="A1" s="23" t="inlineStr">
        <is>
          <t>Data</t>
        </is>
      </c>
      <c r="B1" s="23" t="inlineStr">
        <is>
          <t>Descrição</t>
        </is>
      </c>
      <c r="C1" s="23" t="inlineStr">
        <is>
          <t>Valor (R$)</t>
        </is>
      </c>
      <c r="D1" s="23" t="inlineStr">
        <is>
          <t>Tipo</t>
        </is>
      </c>
      <c r="E1" s="23" t="inlineStr">
        <is>
          <t>Categoria</t>
        </is>
      </c>
      <c r="F1" s="23" t="inlineStr">
        <is>
          <t>Mês</t>
        </is>
      </c>
      <c r="G1" s="23" t="inlineStr">
        <is>
          <t>Conta</t>
        </is>
      </c>
    </row>
    <row r="2">
      <c r="B2" s="24" t="inlineStr">
        <is>
          <t>Dados de BTG Cartão serão adicionados quando o extrato for enviado.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2026-03-30T19:43:46Z</dcterms:created>
  <dcterms:modified xsi:type="dcterms:W3CDTF">2026-03-30T19:43:46Z</dcterms:modified>
</cp:coreProperties>
</file>